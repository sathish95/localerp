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Z:\Documents\Daily Logbook\"/>
    </mc:Choice>
  </mc:AlternateContent>
  <xr:revisionPtr revIDLastSave="0" documentId="13_ncr:1_{08778AF7-C056-4E15-B5FD-1CBDC3F90AB5}" xr6:coauthVersionLast="36" xr6:coauthVersionMax="36" xr10:uidLastSave="{00000000-0000-0000-0000-000000000000}"/>
  <bookViews>
    <workbookView xWindow="0" yWindow="0" windowWidth="20490" windowHeight="7650" tabRatio="653" xr2:uid="{00000000-000D-0000-FFFF-FFFF00000000}"/>
  </bookViews>
  <sheets>
    <sheet name="Sheet1" sheetId="1" r:id="rId1"/>
  </sheets>
  <definedNames>
    <definedName name="_xlnm._FilterDatabase" localSheetId="0" hidden="1">Sheet1!$A$4:$U$169</definedName>
    <definedName name="_xlnm.Print_Titles" localSheetId="0">Sheet1!$1:$3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T25" i="1" l="1"/>
  <c r="T169" i="1" l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P52" i="1"/>
  <c r="P169" i="1" l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L15" i="1"/>
  <c r="L169" i="1" l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4" i="1"/>
  <c r="L13" i="1"/>
  <c r="L12" i="1"/>
  <c r="L11" i="1"/>
  <c r="L10" i="1"/>
  <c r="L9" i="1"/>
  <c r="L8" i="1"/>
  <c r="L7" i="1"/>
  <c r="L6" i="1"/>
  <c r="L5" i="1"/>
  <c r="H169" i="1" l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A6" i="1" l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l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l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l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l="1"/>
  <c r="A92" i="1" s="1"/>
  <c r="A93" i="1" s="1"/>
  <c r="A94" i="1" s="1"/>
  <c r="A95" i="1" s="1"/>
  <c r="A96" i="1" s="1"/>
  <c r="A97" i="1" s="1"/>
  <c r="A98" i="1" s="1"/>
  <c r="A99" i="1" s="1"/>
  <c r="A100" i="1" s="1"/>
  <c r="A101" i="1" l="1"/>
  <c r="A102" i="1" s="1"/>
  <c r="A103" i="1" s="1"/>
  <c r="A104" i="1" s="1"/>
  <c r="A105" i="1" s="1"/>
  <c r="A106" i="1" s="1"/>
  <c r="A107" i="1" s="1"/>
  <c r="A108" i="1" s="1"/>
  <c r="A109" i="1" s="1"/>
  <c r="A110" i="1" l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l="1"/>
  <c r="A156" i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l="1"/>
</calcChain>
</file>

<file path=xl/sharedStrings.xml><?xml version="1.0" encoding="utf-8"?>
<sst xmlns="http://schemas.openxmlformats.org/spreadsheetml/2006/main" count="728" uniqueCount="435">
  <si>
    <t>Daily Logsheet Entry</t>
  </si>
  <si>
    <t>Varsha, DM055623</t>
  </si>
  <si>
    <t>Sr. No.</t>
  </si>
  <si>
    <t>Plant Description</t>
  </si>
  <si>
    <t>Plant CCl. No.</t>
  </si>
  <si>
    <t>Group</t>
  </si>
  <si>
    <t>Equipment Number</t>
  </si>
  <si>
    <t>Open Hrs</t>
  </si>
  <si>
    <t>Closing Hrs</t>
  </si>
  <si>
    <t>Total Hrs</t>
  </si>
  <si>
    <t xml:space="preserve">B/D Hrs </t>
  </si>
  <si>
    <t>1</t>
  </si>
  <si>
    <t>Diesel Generator Set 125 kVA</t>
  </si>
  <si>
    <t>66333</t>
  </si>
  <si>
    <t>4100190</t>
  </si>
  <si>
    <t>Diesel Generator Set 62.5 kVA</t>
  </si>
  <si>
    <t>4100561</t>
  </si>
  <si>
    <t>66424</t>
  </si>
  <si>
    <t>1045</t>
  </si>
  <si>
    <t>4100003</t>
  </si>
  <si>
    <t>66337</t>
  </si>
  <si>
    <t>4100017</t>
  </si>
  <si>
    <t>66331</t>
  </si>
  <si>
    <t>4100021</t>
  </si>
  <si>
    <t>66253</t>
  </si>
  <si>
    <t>4100027</t>
  </si>
  <si>
    <t>66165</t>
  </si>
  <si>
    <t>4100029</t>
  </si>
  <si>
    <t>Diesel Generator Set 180 kVA</t>
  </si>
  <si>
    <t>66447</t>
  </si>
  <si>
    <t>4100040</t>
  </si>
  <si>
    <t>66349</t>
  </si>
  <si>
    <t>4100041</t>
  </si>
  <si>
    <t>66452</t>
  </si>
  <si>
    <t>4100049</t>
  </si>
  <si>
    <t>66391</t>
  </si>
  <si>
    <t>4100050</t>
  </si>
  <si>
    <t>66390</t>
  </si>
  <si>
    <t>4100051</t>
  </si>
  <si>
    <t>66415</t>
  </si>
  <si>
    <t>4100062</t>
  </si>
  <si>
    <t>66435</t>
  </si>
  <si>
    <t>4100065</t>
  </si>
  <si>
    <t>66436</t>
  </si>
  <si>
    <t>4100066</t>
  </si>
  <si>
    <t>Diesel Generator Set 40 kVA</t>
  </si>
  <si>
    <t>66339</t>
  </si>
  <si>
    <t>4100101</t>
  </si>
  <si>
    <t>Diesel Generator Set 15 kVA</t>
  </si>
  <si>
    <t>66135</t>
  </si>
  <si>
    <t>4100120</t>
  </si>
  <si>
    <t>Diesel Generator Set 62.5 kVA (17091135)</t>
  </si>
  <si>
    <t>66439</t>
  </si>
  <si>
    <t>4100146</t>
  </si>
  <si>
    <t>Diesel Generator Set 62.5 kVA (17091136)</t>
  </si>
  <si>
    <t>66440</t>
  </si>
  <si>
    <t>4100147</t>
  </si>
  <si>
    <t>Diesel Generator Set 62.5 kVA (17101196)</t>
  </si>
  <si>
    <t>66444</t>
  </si>
  <si>
    <t>4100148</t>
  </si>
  <si>
    <t>Diesel Generator Set 62.5 kVA (17111217)</t>
  </si>
  <si>
    <t>66443</t>
  </si>
  <si>
    <t>4100151</t>
  </si>
  <si>
    <t>66423</t>
  </si>
  <si>
    <t>4100153</t>
  </si>
  <si>
    <t>Diesel Generator Set 320 kVA</t>
  </si>
  <si>
    <t>66387</t>
  </si>
  <si>
    <t>4100154</t>
  </si>
  <si>
    <t>Diesel Generator Set 100 kVA</t>
  </si>
  <si>
    <t>66302</t>
  </si>
  <si>
    <t>4100155</t>
  </si>
  <si>
    <t>66320</t>
  </si>
  <si>
    <t>4100156</t>
  </si>
  <si>
    <t>66240</t>
  </si>
  <si>
    <t>4100159</t>
  </si>
  <si>
    <t>66371</t>
  </si>
  <si>
    <t>4100161</t>
  </si>
  <si>
    <t>66449</t>
  </si>
  <si>
    <t>66365</t>
  </si>
  <si>
    <t>66305</t>
  </si>
  <si>
    <t>66464</t>
  </si>
  <si>
    <t>66374</t>
  </si>
  <si>
    <t>66303</t>
  </si>
  <si>
    <t>66153</t>
  </si>
  <si>
    <t>66334</t>
  </si>
  <si>
    <t>66274</t>
  </si>
  <si>
    <t>66388</t>
  </si>
  <si>
    <t>66259</t>
  </si>
  <si>
    <t>66309</t>
  </si>
  <si>
    <t>66314</t>
  </si>
  <si>
    <t>Diesel Generator Set 320 KVA</t>
  </si>
  <si>
    <t>66402</t>
  </si>
  <si>
    <t>66378</t>
  </si>
  <si>
    <t>Diesel Generator Set 125 KVA</t>
  </si>
  <si>
    <t>66600</t>
  </si>
  <si>
    <t>66497</t>
  </si>
  <si>
    <t>66498</t>
  </si>
  <si>
    <t>4100216</t>
  </si>
  <si>
    <t>66500</t>
  </si>
  <si>
    <t>4100218</t>
  </si>
  <si>
    <t>66350</t>
  </si>
  <si>
    <t>4100222</t>
  </si>
  <si>
    <t>Diesel Generator Set 250 kVA</t>
  </si>
  <si>
    <t>66418</t>
  </si>
  <si>
    <t>4100224</t>
  </si>
  <si>
    <t>66428</t>
  </si>
  <si>
    <t>4100234</t>
  </si>
  <si>
    <t>Diesel Generator Set 30 kVA</t>
  </si>
  <si>
    <t>66419</t>
  </si>
  <si>
    <t>4100238</t>
  </si>
  <si>
    <t>66420</t>
  </si>
  <si>
    <t>4100239</t>
  </si>
  <si>
    <t>66157</t>
  </si>
  <si>
    <t>4100240</t>
  </si>
  <si>
    <t>66363</t>
  </si>
  <si>
    <t>4100244</t>
  </si>
  <si>
    <t>66359</t>
  </si>
  <si>
    <t>4100259</t>
  </si>
  <si>
    <t>66386</t>
  </si>
  <si>
    <t>4100269</t>
  </si>
  <si>
    <t>66346</t>
  </si>
  <si>
    <t>4100296</t>
  </si>
  <si>
    <t>66392</t>
  </si>
  <si>
    <t>4100297</t>
  </si>
  <si>
    <t>Diesel Generator Set 62.5 KVA</t>
  </si>
  <si>
    <t>66264</t>
  </si>
  <si>
    <t>4100304</t>
  </si>
  <si>
    <t>66325</t>
  </si>
  <si>
    <t>4100308</t>
  </si>
  <si>
    <t>66293</t>
  </si>
  <si>
    <t>4100315</t>
  </si>
  <si>
    <t>66231</t>
  </si>
  <si>
    <t>4100318</t>
  </si>
  <si>
    <t>Diesel Generator Set 82.5 kVA</t>
  </si>
  <si>
    <t>66291</t>
  </si>
  <si>
    <t>4100330</t>
  </si>
  <si>
    <t>66604</t>
  </si>
  <si>
    <t>4100336</t>
  </si>
  <si>
    <t>66601</t>
  </si>
  <si>
    <t>4100337</t>
  </si>
  <si>
    <t>66602</t>
  </si>
  <si>
    <t>4100338</t>
  </si>
  <si>
    <t>66335</t>
  </si>
  <si>
    <t>4100341</t>
  </si>
  <si>
    <t>66296</t>
  </si>
  <si>
    <t>4100342</t>
  </si>
  <si>
    <t>66290</t>
  </si>
  <si>
    <t>4100344</t>
  </si>
  <si>
    <t>66310</t>
  </si>
  <si>
    <t>4100346</t>
  </si>
  <si>
    <t>66458</t>
  </si>
  <si>
    <t>4100495</t>
  </si>
  <si>
    <t>4100560</t>
  </si>
  <si>
    <t>4100580</t>
  </si>
  <si>
    <t>Diesel Generator Set 62.5 KVA (17091119)</t>
  </si>
  <si>
    <t>4100581</t>
  </si>
  <si>
    <t>Diesel Generator Set 62.5 KVA (17080994)</t>
  </si>
  <si>
    <t>4100582</t>
  </si>
  <si>
    <t>Diesel Generator Set 62.5 KVA (17081002)</t>
  </si>
  <si>
    <t>4100583</t>
  </si>
  <si>
    <t>Diesel Generator Set 62.5 KVA (17060813)</t>
  </si>
  <si>
    <t>4100584</t>
  </si>
  <si>
    <t>Diesel Generator Set 62.5 KVA -17091122</t>
  </si>
  <si>
    <t>4100585</t>
  </si>
  <si>
    <t>DIESEL GENERATOR SET -  250 KVA -84506967</t>
  </si>
  <si>
    <t>4100620</t>
  </si>
  <si>
    <t>66627</t>
  </si>
  <si>
    <t>4100404</t>
  </si>
  <si>
    <t>Diesel Generator Set 125 kVA (410085)</t>
  </si>
  <si>
    <t>66408</t>
  </si>
  <si>
    <t>4100228</t>
  </si>
  <si>
    <t>Diesel Generator Set 63 kVA</t>
  </si>
  <si>
    <t>4100588</t>
  </si>
  <si>
    <t>4100586</t>
  </si>
  <si>
    <t>4100590</t>
  </si>
  <si>
    <t>Crawler Crane - Hydraulic TUSKER 160 MT</t>
  </si>
  <si>
    <t>44826</t>
  </si>
  <si>
    <t>1008</t>
  </si>
  <si>
    <t>4600068</t>
  </si>
  <si>
    <t>Duty Cycle Craw Crane - Hyd Liebherr 70T</t>
  </si>
  <si>
    <t>44834</t>
  </si>
  <si>
    <t>4600143</t>
  </si>
  <si>
    <t>Crawler crane - Hydraulic SUMITOMO 90 MT</t>
  </si>
  <si>
    <t>44966</t>
  </si>
  <si>
    <t>4600149</t>
  </si>
  <si>
    <t>Crawler crane - Hydraulic FUWA 55 MT</t>
  </si>
  <si>
    <t>44823</t>
  </si>
  <si>
    <t>4600081</t>
  </si>
  <si>
    <t>Duty Cycle Crawler Crane [Liebherr 100T]</t>
  </si>
  <si>
    <t>44825</t>
  </si>
  <si>
    <t>4600130</t>
  </si>
  <si>
    <t>HYDRAULIC CRAWLER CRANE KOBELCO - 100 MT</t>
  </si>
  <si>
    <t>4600246</t>
  </si>
  <si>
    <t>DUTY CYCLE HYD CRAWLER CRANE - 200 TON-188363</t>
  </si>
  <si>
    <t>4600318</t>
  </si>
  <si>
    <t>44971</t>
  </si>
  <si>
    <t>1009</t>
  </si>
  <si>
    <t>4600020</t>
  </si>
  <si>
    <t>Crawler Crane - Mechanical TATA TFC 280</t>
  </si>
  <si>
    <t>44962</t>
  </si>
  <si>
    <t>4600024</t>
  </si>
  <si>
    <t>Crawler crane - Mechanical TATA TFC 280</t>
  </si>
  <si>
    <t>44959</t>
  </si>
  <si>
    <t>Hydraulic Tyre Mounted  Crane 40 MT</t>
  </si>
  <si>
    <t>44252</t>
  </si>
  <si>
    <t>1010</t>
  </si>
  <si>
    <t>4600036</t>
  </si>
  <si>
    <t>HYDRAULIC TYRE MOUNTED CRANE-40 TON</t>
  </si>
  <si>
    <t>44262</t>
  </si>
  <si>
    <t>4600292</t>
  </si>
  <si>
    <t>Pick &amp; Carry Crane PIXEF 215</t>
  </si>
  <si>
    <t>44242</t>
  </si>
  <si>
    <t>1012</t>
  </si>
  <si>
    <t>PICK AND CARRY CRANE PIXEF 215 15 TON</t>
  </si>
  <si>
    <t>44266</t>
  </si>
  <si>
    <t>Truck Mounted Crane w Chasis 32T (Pal Finger)</t>
  </si>
  <si>
    <t>4600306</t>
  </si>
  <si>
    <t>1013</t>
  </si>
  <si>
    <t>EXCAVATOR EX1200 W LONG BOOM REACH KIT</t>
  </si>
  <si>
    <t>50819</t>
  </si>
  <si>
    <t>1021</t>
  </si>
  <si>
    <t>4700122</t>
  </si>
  <si>
    <t>EXCAVATOR EX1200 W LONG BOOM REACH KIT (2120)</t>
  </si>
  <si>
    <t>4700136</t>
  </si>
  <si>
    <t>EXCAVATOR EX1200 W LONG BOOM REACH KIT(2121)</t>
  </si>
  <si>
    <t>4700137</t>
  </si>
  <si>
    <t>HYDRAULIC EXCAVATOR PC 2000 WITH LONG (20979)</t>
  </si>
  <si>
    <t>4700140</t>
  </si>
  <si>
    <t>EXCAVATOR - EX 1200V - 120 TON (2145)</t>
  </si>
  <si>
    <t>4700142</t>
  </si>
  <si>
    <t>EXCAVATOR - EX 1200V - 120 TON (2134)</t>
  </si>
  <si>
    <t>4700143</t>
  </si>
  <si>
    <t>HYDRAULIC EXCAVATOR PC 2000 W LONG BOOM (20982)</t>
  </si>
  <si>
    <t>4700149</t>
  </si>
  <si>
    <t>Backhoe Loader Case 851 EX</t>
  </si>
  <si>
    <t>50623</t>
  </si>
  <si>
    <t>1022</t>
  </si>
  <si>
    <t>4700044</t>
  </si>
  <si>
    <t>Dozer</t>
  </si>
  <si>
    <t>73206</t>
  </si>
  <si>
    <t>1023</t>
  </si>
  <si>
    <t>4700026</t>
  </si>
  <si>
    <t>Concrete Pump - Putzmiester BSA 1407D</t>
  </si>
  <si>
    <t>38252</t>
  </si>
  <si>
    <t>1024</t>
  </si>
  <si>
    <t>3100310</t>
  </si>
  <si>
    <t>38253</t>
  </si>
  <si>
    <t>3100311</t>
  </si>
  <si>
    <t>CONCRETE PUMP BSA 2110HPD</t>
  </si>
  <si>
    <t>38254</t>
  </si>
  <si>
    <t>3100357</t>
  </si>
  <si>
    <t>Concrete Pump - Putzmiester BSA 2109D</t>
  </si>
  <si>
    <t>38231</t>
  </si>
  <si>
    <t>3100491</t>
  </si>
  <si>
    <t>CONCRETE PUMP PUTZMEISTER - BSA 2109 HD</t>
  </si>
  <si>
    <t>38259</t>
  </si>
  <si>
    <t>3100733</t>
  </si>
  <si>
    <t>Concrete Pump - BSA 2109 HD</t>
  </si>
  <si>
    <t>38260</t>
  </si>
  <si>
    <t>3100751</t>
  </si>
  <si>
    <t>Concrete Placer Boom w Chassis (4400084)</t>
  </si>
  <si>
    <t>74390</t>
  </si>
  <si>
    <t>1025</t>
  </si>
  <si>
    <t>3100374</t>
  </si>
  <si>
    <t>Concrete Placer Boom w Chassis (4400123)</t>
  </si>
  <si>
    <t>3100458</t>
  </si>
  <si>
    <t>Concrete Placer Boom w Chassis CAP 73 M3</t>
  </si>
  <si>
    <t>NEW</t>
  </si>
  <si>
    <t>3100940</t>
  </si>
  <si>
    <t>BATCHING PLANT CAP 101 CUM WITH ALL ACC</t>
  </si>
  <si>
    <t>1026</t>
  </si>
  <si>
    <t>3100894</t>
  </si>
  <si>
    <t>Tipper - 25MT (RJ 20 GA 3351)</t>
  </si>
  <si>
    <t>74854</t>
  </si>
  <si>
    <t>1032</t>
  </si>
  <si>
    <t>3800035</t>
  </si>
  <si>
    <t>ROCK BODY TIPPER - 35 MT (AP39WA8157)</t>
  </si>
  <si>
    <t>3800060</t>
  </si>
  <si>
    <t>ROCK BODY TIPPER - 35 MT (AP39WA8153)</t>
  </si>
  <si>
    <t>3800061</t>
  </si>
  <si>
    <t>ROCK BODY TIPPER - 35 MT (AP39WA8163)</t>
  </si>
  <si>
    <t>3800062</t>
  </si>
  <si>
    <t>ROCK BODY TIPPER - 35 MT (AP39WA8588)</t>
  </si>
  <si>
    <t>3800063</t>
  </si>
  <si>
    <t>ROCK BODY TIPPER - 35 MT (AP39WA8147)</t>
  </si>
  <si>
    <t>3800064</t>
  </si>
  <si>
    <t>ROCK BODY TIPPER - 35 MT (AP39WA8156)</t>
  </si>
  <si>
    <t>3800065</t>
  </si>
  <si>
    <t>ROCK BODY TIPPER - 35 MT (AP39WA8589)</t>
  </si>
  <si>
    <t>3800066</t>
  </si>
  <si>
    <t>ROCK BODY TIPPER - 35 MT (AP39WA8590)</t>
  </si>
  <si>
    <t>3800067</t>
  </si>
  <si>
    <t>ROCK BODY TIPPER - 35 MT (AP39WA8166)</t>
  </si>
  <si>
    <t>3800068</t>
  </si>
  <si>
    <t>ROCK BODY TIPPER - 35 MT (AP39WA8165)</t>
  </si>
  <si>
    <t>3800069</t>
  </si>
  <si>
    <t>CAT Motor Grader 120H</t>
  </si>
  <si>
    <t>56008</t>
  </si>
  <si>
    <t>1033</t>
  </si>
  <si>
    <t>4700064</t>
  </si>
  <si>
    <t>Soil Compactor - 10 T</t>
  </si>
  <si>
    <t>50977</t>
  </si>
  <si>
    <t>1034</t>
  </si>
  <si>
    <t>4700025</t>
  </si>
  <si>
    <t>Welding Cum lightning DG - 40 KVA</t>
  </si>
  <si>
    <t>77622</t>
  </si>
  <si>
    <t>1046</t>
  </si>
  <si>
    <t>4100088</t>
  </si>
  <si>
    <t>Welding Cum Lighting DG - 30/10 kVA</t>
  </si>
  <si>
    <t>77664</t>
  </si>
  <si>
    <t>4100246</t>
  </si>
  <si>
    <t>Lighting Mast 7.5 kVA</t>
  </si>
  <si>
    <t>66529</t>
  </si>
  <si>
    <t>1047</t>
  </si>
  <si>
    <t>4100281</t>
  </si>
  <si>
    <t>4100283/66531</t>
  </si>
  <si>
    <t>4100283</t>
  </si>
  <si>
    <t>66533</t>
  </si>
  <si>
    <t>4100285</t>
  </si>
  <si>
    <t>Lighting Mast 7.5 Kva</t>
  </si>
  <si>
    <t>66672</t>
  </si>
  <si>
    <t>4100489</t>
  </si>
  <si>
    <t>4100492</t>
  </si>
  <si>
    <t>66676</t>
  </si>
  <si>
    <t>4100493</t>
  </si>
  <si>
    <t>4100494</t>
  </si>
  <si>
    <t>LIGHTING MAST 15 KVA (42K650)</t>
  </si>
  <si>
    <t>42k650</t>
  </si>
  <si>
    <t>4100599</t>
  </si>
  <si>
    <t>LIGHTING MAST 15 KVA (42K611)</t>
  </si>
  <si>
    <t>42k611</t>
  </si>
  <si>
    <t>4100598</t>
  </si>
  <si>
    <t>LIGHTING MAST 15 KVA</t>
  </si>
  <si>
    <t>4100595</t>
  </si>
  <si>
    <t>42k066</t>
  </si>
  <si>
    <t>4100596</t>
  </si>
  <si>
    <t>4100597</t>
  </si>
  <si>
    <t>4100600</t>
  </si>
  <si>
    <t>Air Compressor 400 CFM</t>
  </si>
  <si>
    <t>31675</t>
  </si>
  <si>
    <t>1048</t>
  </si>
  <si>
    <t>3701352</t>
  </si>
  <si>
    <t>Air Compressor - 400 CFM</t>
  </si>
  <si>
    <t>31709</t>
  </si>
  <si>
    <t>3701448</t>
  </si>
  <si>
    <t>31710</t>
  </si>
  <si>
    <t>31680</t>
  </si>
  <si>
    <t>3701609</t>
  </si>
  <si>
    <t>31690</t>
  </si>
  <si>
    <t>3701770</t>
  </si>
  <si>
    <t>Air Compressor 500 CFM</t>
  </si>
  <si>
    <t>31686</t>
  </si>
  <si>
    <t>3702054</t>
  </si>
  <si>
    <t>31712</t>
  </si>
  <si>
    <t>3703188</t>
  </si>
  <si>
    <t>Air Compressor- 410 CFM (PE2271033)</t>
  </si>
  <si>
    <t>3704709</t>
  </si>
  <si>
    <t>AIR COMPRESSOR - 410 CFM(BXAD121951)</t>
  </si>
  <si>
    <t>3705955</t>
  </si>
  <si>
    <t>AIR COMPRESSOR - 410 CFM (RNHM105406)</t>
  </si>
  <si>
    <t>3705956</t>
  </si>
  <si>
    <t>AIR COMPRESSOR - 410 CFM (RLHM110040)</t>
  </si>
  <si>
    <t>3706000</t>
  </si>
  <si>
    <t>31687</t>
  </si>
  <si>
    <t>3700000</t>
  </si>
  <si>
    <t>ICE PLANT WITH MOBILE ICE STORAGE 40 TPD</t>
  </si>
  <si>
    <t>3100933</t>
  </si>
  <si>
    <t>1065</t>
  </si>
  <si>
    <t>4100589</t>
  </si>
  <si>
    <t>66385</t>
  </si>
  <si>
    <t>4100377</t>
  </si>
  <si>
    <t>4100591</t>
  </si>
  <si>
    <t>CONCRETE PUMP PUTZMEISTER - BSA 1407</t>
  </si>
  <si>
    <t>38246</t>
  </si>
  <si>
    <t>3100561</t>
  </si>
  <si>
    <t>Concrete Pump - Schwing Stetter BP2800</t>
  </si>
  <si>
    <t>38230</t>
  </si>
  <si>
    <t>3100492</t>
  </si>
  <si>
    <t>74953</t>
  </si>
  <si>
    <t>3701449</t>
  </si>
  <si>
    <t>4600127</t>
  </si>
  <si>
    <t>31682</t>
  </si>
  <si>
    <t>3702109</t>
  </si>
  <si>
    <t>Air Compressor 365 CFM</t>
  </si>
  <si>
    <t>LIGHTING MAST 15 KVA (42k064)</t>
  </si>
  <si>
    <t>54231/4978</t>
  </si>
  <si>
    <t>39186/4645</t>
  </si>
  <si>
    <t>52563/5344</t>
  </si>
  <si>
    <t>46219/4475</t>
  </si>
  <si>
    <t>44624/4521</t>
  </si>
  <si>
    <t>54574/5071</t>
  </si>
  <si>
    <t>49002/4838</t>
  </si>
  <si>
    <t>51893/4993</t>
  </si>
  <si>
    <t>34955/3841</t>
  </si>
  <si>
    <t>47457/4743</t>
  </si>
  <si>
    <t>26.09.2026</t>
  </si>
  <si>
    <t>39226/4654</t>
  </si>
  <si>
    <t>46259/4480</t>
  </si>
  <si>
    <t>44714/4527</t>
  </si>
  <si>
    <t>54286/4984</t>
  </si>
  <si>
    <t>54670/5079</t>
  </si>
  <si>
    <t>47547/4752</t>
  </si>
  <si>
    <t>49138/4849</t>
  </si>
  <si>
    <t>52028/5002</t>
  </si>
  <si>
    <t>35060/3849</t>
  </si>
  <si>
    <t>28.09.2026</t>
  </si>
  <si>
    <t>39228/4656</t>
  </si>
  <si>
    <t>46266/4482</t>
  </si>
  <si>
    <t>52606/4349</t>
  </si>
  <si>
    <t>54415/4994</t>
  </si>
  <si>
    <t>54804/5090</t>
  </si>
  <si>
    <t>47662/4762</t>
  </si>
  <si>
    <t>49260/4859</t>
  </si>
  <si>
    <t>52169/5012</t>
  </si>
  <si>
    <t>35210/3859</t>
  </si>
  <si>
    <t>29.09.2026</t>
  </si>
  <si>
    <t>52619/5350</t>
  </si>
  <si>
    <t>46297/4485</t>
  </si>
  <si>
    <t>54492/5002</t>
  </si>
  <si>
    <t>54899/5097</t>
  </si>
  <si>
    <t>47753/4770</t>
  </si>
  <si>
    <t>49374/4867</t>
  </si>
  <si>
    <t>52272/5019</t>
  </si>
  <si>
    <t>35317/3866</t>
  </si>
  <si>
    <t>30.09.2026</t>
  </si>
  <si>
    <t>39269/4661</t>
  </si>
  <si>
    <t>52629/5351</t>
  </si>
  <si>
    <t>46307/4486</t>
  </si>
  <si>
    <t>54595/5009</t>
  </si>
  <si>
    <t>55031/5107</t>
  </si>
  <si>
    <t>47862/4779</t>
  </si>
  <si>
    <t>49513/4877</t>
  </si>
  <si>
    <t>35446/3876</t>
  </si>
  <si>
    <t>52298/5021</t>
  </si>
  <si>
    <t>Crawler Crane - Mechanical TFC 280 (DEHIRE)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</si>
</sst>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5BFEB"/>
        <bgColor indexed="64"/>
      </patternFill>
    </fill>
    <fill>
      <patternFill patternType="solid">
        <fgColor rgb="FFFFFFCC"/>
      </patternFill>
    </fill>
    <fill>
      <patternFill patternType="solid">
        <fgColor rgb="FF00FFFF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CC66FF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6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0" applyNumberFormat="0" applyBorder="0" applyAlignment="0" applyProtection="0"/>
    <xf numFmtId="0" fontId="4" fillId="5" borderId="1" applyNumberFormat="0" applyAlignment="0" applyProtection="0"/>
    <xf numFmtId="0" fontId="6" fillId="11" borderId="4" applyNumberFormat="0" applyFont="0" applyAlignment="0" applyProtection="0"/>
  </cellStyleXfs>
  <cellXfs count="42">
    <xf numFmtId="0" fontId="0" fillId="0" borderId="0" xfId="0"/>
    <xf numFmtId="0" fontId="0" fillId="0" borderId="0" xfId="0" applyAlignment="1">
      <alignment horizontal="left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4" fillId="5" borderId="1" xfId="4" applyAlignment="1">
      <alignment horizontal="left" vertical="center"/>
    </xf>
    <xf numFmtId="0" fontId="4" fillId="5" borderId="1" xfId="4" applyAlignment="1">
      <alignment horizontal="center" vertical="center"/>
    </xf>
    <xf numFmtId="0" fontId="4" fillId="5" borderId="3" xfId="4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left"/>
    </xf>
    <xf numFmtId="0" fontId="5" fillId="0" borderId="3" xfId="0" applyFont="1" applyFill="1" applyBorder="1"/>
    <xf numFmtId="49" fontId="5" fillId="0" borderId="3" xfId="0" applyNumberFormat="1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0" fillId="0" borderId="3" xfId="0" applyBorder="1"/>
    <xf numFmtId="0" fontId="0" fillId="6" borderId="3" xfId="0" applyFont="1" applyFill="1" applyBorder="1" applyAlignment="1">
      <alignment horizontal="center" vertical="center"/>
    </xf>
    <xf numFmtId="49" fontId="0" fillId="0" borderId="3" xfId="0" applyNumberForma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49" fontId="5" fillId="0" borderId="3" xfId="1" applyNumberFormat="1" applyFont="1" applyFill="1" applyBorder="1" applyAlignment="1">
      <alignment horizontal="center" vertical="center"/>
    </xf>
    <xf numFmtId="0" fontId="0" fillId="7" borderId="3" xfId="0" applyFont="1" applyFill="1" applyBorder="1" applyAlignment="1">
      <alignment horizontal="center" vertical="center"/>
    </xf>
    <xf numFmtId="0" fontId="5" fillId="0" borderId="3" xfId="2" applyFont="1" applyFill="1" applyBorder="1"/>
    <xf numFmtId="49" fontId="5" fillId="0" borderId="3" xfId="2" applyNumberFormat="1" applyFont="1" applyFill="1" applyBorder="1" applyAlignment="1">
      <alignment horizontal="center" vertical="center"/>
    </xf>
    <xf numFmtId="0" fontId="5" fillId="0" borderId="3" xfId="2" applyFont="1" applyFill="1" applyBorder="1" applyAlignment="1">
      <alignment horizontal="center" vertical="center"/>
    </xf>
    <xf numFmtId="0" fontId="0" fillId="0" borderId="3" xfId="0" applyFill="1" applyBorder="1"/>
    <xf numFmtId="0" fontId="0" fillId="0" borderId="3" xfId="0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8" borderId="3" xfId="0" applyFill="1" applyBorder="1"/>
    <xf numFmtId="0" fontId="0" fillId="9" borderId="3" xfId="0" applyFill="1" applyBorder="1"/>
    <xf numFmtId="49" fontId="0" fillId="0" borderId="3" xfId="0" applyNumberFormat="1" applyBorder="1" applyAlignment="1">
      <alignment horizontal="center"/>
    </xf>
    <xf numFmtId="49" fontId="0" fillId="0" borderId="0" xfId="0" applyNumberFormat="1"/>
    <xf numFmtId="0" fontId="0" fillId="10" borderId="3" xfId="0" applyFill="1" applyBorder="1"/>
    <xf numFmtId="0" fontId="0" fillId="0" borderId="3" xfId="0" applyFont="1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0" fontId="5" fillId="0" borderId="3" xfId="0" applyNumberFormat="1" applyFont="1" applyFill="1" applyBorder="1" applyAlignment="1">
      <alignment horizontal="center" vertical="center"/>
    </xf>
    <xf numFmtId="0" fontId="5" fillId="0" borderId="3" xfId="3" applyNumberFormat="1" applyFont="1" applyFill="1" applyBorder="1" applyAlignment="1">
      <alignment horizontal="center" vertical="center"/>
    </xf>
    <xf numFmtId="0" fontId="5" fillId="0" borderId="3" xfId="1" applyFont="1" applyFill="1" applyBorder="1"/>
    <xf numFmtId="0" fontId="5" fillId="6" borderId="3" xfId="0" applyFont="1" applyFill="1" applyBorder="1" applyAlignment="1">
      <alignment horizontal="center" vertical="center"/>
    </xf>
    <xf numFmtId="0" fontId="5" fillId="0" borderId="3" xfId="2" applyNumberFormat="1" applyFont="1" applyFill="1" applyBorder="1" applyAlignment="1">
      <alignment horizontal="center" vertical="center"/>
    </xf>
    <xf numFmtId="49" fontId="1" fillId="2" borderId="3" xfId="1" applyNumberFormat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7" fillId="12" borderId="4" xfId="5" applyFont="1" applyFill="1" applyAlignment="1">
      <alignment horizontal="center" vertical="center"/>
    </xf>
    <xf numFmtId="0" fontId="7" fillId="13" borderId="4" xfId="5" applyFont="1" applyFill="1" applyAlignment="1">
      <alignment horizontal="center" vertical="center"/>
    </xf>
    <xf numFmtId="0" fontId="7" fillId="14" borderId="4" xfId="5" applyFont="1" applyFill="1" applyAlignment="1">
      <alignment horizontal="center" vertical="center"/>
    </xf>
    <xf numFmtId="0" fontId="7" fillId="15" borderId="4" xfId="5" applyFont="1" applyFill="1" applyAlignment="1">
      <alignment horizontal="center" vertical="center"/>
    </xf>
    <xf numFmtId="0" fontId="2" fillId="3" borderId="3" xfId="2" applyBorder="1"/>
  </cellXfs>
  <cellStyles count="6">
    <cellStyle name="Bad" xfId="2" builtinId="27"/>
    <cellStyle name="Good" xfId="1" builtinId="26"/>
    <cellStyle name="Neutral" xfId="3" builtinId="28"/>
    <cellStyle name="Normal" xfId="0" builtinId="0"/>
    <cellStyle name="Note" xfId="5" builtinId="10"/>
    <cellStyle name="Output" xfId="4" builtinId="21"/>
  </cellStyles>
  <dxfs count="0"/>
  <tableStyles count="0" defaultTableStyle="TableStyleMedium2" defaultPivotStyle="PivotStyleLight16"/>
  <colors>
    <mruColors>
      <color rgb="FFCC66FF"/>
      <color rgb="FFFF9999"/>
      <color rgb="FF00FFFF"/>
      <color rgb="FFFFCCFF"/>
      <color rgb="FFFFFFCC"/>
      <color rgb="FFFFFFFF"/>
      <color rgb="FF808000"/>
      <color rgb="FF003300"/>
      <color rgb="FFCC3300"/>
      <color rgb="FF33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U169"/>
  <sheetViews>
    <sheetView tabSelected="1" zoomScaleNormal="100" zoomScaleSheetLayoutView="90" workbookViewId="0">
      <selection activeCell="D101" sqref="D101"/>
    </sheetView>
  </sheetViews>
  <sheetFormatPr defaultRowHeight="15" x14ac:dyDescent="0.25"/>
  <cols>
    <col min="1" max="1" width="6.85546875" bestFit="1" customWidth="1"/>
    <col min="2" max="2" width="55.5703125" customWidth="1"/>
    <col min="3" max="3" width="16.85546875" customWidth="1"/>
    <col min="4" max="4" width="10.42578125" customWidth="1"/>
    <col min="5" max="5" width="18.7109375" bestFit="1" customWidth="1"/>
    <col min="6" max="6" width="16.140625" hidden="1" customWidth="1"/>
    <col min="7" max="7" width="10.85546875" hidden="1" customWidth="1"/>
    <col min="8" max="8" width="8.7109375" hidden="1" customWidth="1"/>
    <col min="9" max="9" width="8" hidden="1" customWidth="1"/>
    <col min="10" max="11" width="10.85546875" hidden="1" customWidth="1"/>
    <col min="12" max="12" width="8.7109375" hidden="1" customWidth="1"/>
    <col min="13" max="13" width="8" hidden="1" customWidth="1"/>
    <col min="14" max="14" width="16.140625" hidden="1" customWidth="1"/>
    <col min="15" max="15" width="17.28515625" hidden="1" customWidth="1"/>
    <col min="16" max="16" width="16" hidden="1" customWidth="1"/>
    <col min="17" max="17" width="15.28515625" hidden="1" customWidth="1"/>
    <col min="18" max="18" width="16.140625" customWidth="1"/>
    <col min="19" max="19" width="17.28515625" customWidth="1"/>
    <col min="20" max="20" width="16" customWidth="1"/>
    <col min="21" max="21" width="15.28515625" customWidth="1"/>
  </cols>
  <sheetData>
    <row r="1" spans="1:21" ht="15.75" thickBot="1" x14ac:dyDescent="0.3">
      <c r="A1" s="1"/>
      <c r="B1" s="2" t="s">
        <v>0</v>
      </c>
      <c r="C1" s="3"/>
      <c r="D1" s="3"/>
      <c r="E1" s="3"/>
    </row>
    <row r="2" spans="1:21" ht="15.75" thickBot="1" x14ac:dyDescent="0.3">
      <c r="A2" s="1"/>
      <c r="B2" s="2" t="s">
        <v>1</v>
      </c>
      <c r="C2" s="3"/>
      <c r="D2" s="3"/>
      <c r="E2" s="3"/>
    </row>
    <row r="3" spans="1:21" ht="19.5" customHeight="1" x14ac:dyDescent="0.25">
      <c r="A3" s="1"/>
      <c r="C3" s="3"/>
      <c r="D3" s="3"/>
      <c r="E3" s="3"/>
      <c r="F3" s="37" t="s">
        <v>395</v>
      </c>
      <c r="G3" s="37"/>
      <c r="H3" s="37"/>
      <c r="I3" s="37"/>
      <c r="J3" s="38" t="s">
        <v>405</v>
      </c>
      <c r="K3" s="38"/>
      <c r="L3" s="38"/>
      <c r="M3" s="38"/>
      <c r="N3" s="39" t="s">
        <v>415</v>
      </c>
      <c r="O3" s="39"/>
      <c r="P3" s="39"/>
      <c r="Q3" s="39"/>
      <c r="R3" s="40" t="s">
        <v>424</v>
      </c>
      <c r="S3" s="40"/>
      <c r="T3" s="40"/>
      <c r="U3" s="40"/>
    </row>
    <row r="4" spans="1:21" ht="25.5" customHeight="1" x14ac:dyDescent="0.25">
      <c r="A4" s="4" t="s">
        <v>2</v>
      </c>
      <c r="B4" s="4" t="s">
        <v>3</v>
      </c>
      <c r="C4" s="5" t="s">
        <v>4</v>
      </c>
      <c r="D4" s="5" t="s">
        <v>5</v>
      </c>
      <c r="E4" s="5" t="s">
        <v>6</v>
      </c>
      <c r="F4" s="6" t="s">
        <v>7</v>
      </c>
      <c r="G4" s="6" t="s">
        <v>8</v>
      </c>
      <c r="H4" s="6" t="s">
        <v>9</v>
      </c>
      <c r="I4" s="6" t="s">
        <v>10</v>
      </c>
      <c r="J4" s="6" t="s">
        <v>7</v>
      </c>
      <c r="K4" s="6" t="s">
        <v>8</v>
      </c>
      <c r="L4" s="6" t="s">
        <v>9</v>
      </c>
      <c r="M4" s="6" t="s">
        <v>10</v>
      </c>
      <c r="N4" s="6" t="s">
        <v>7</v>
      </c>
      <c r="O4" s="6" t="s">
        <v>8</v>
      </c>
      <c r="P4" s="6" t="s">
        <v>9</v>
      </c>
      <c r="Q4" s="6" t="s">
        <v>10</v>
      </c>
      <c r="R4" s="6" t="s">
        <v>7</v>
      </c>
      <c r="S4" s="6" t="s">
        <v>8</v>
      </c>
      <c r="T4" s="6" t="s">
        <v>9</v>
      </c>
      <c r="U4" s="6" t="s">
        <v>10</v>
      </c>
    </row>
    <row r="5" spans="1:21" ht="20.100000000000001" customHeight="1" x14ac:dyDescent="0.25">
      <c r="A5" s="7" t="s">
        <v>11</v>
      </c>
      <c r="B5" s="8" t="s">
        <v>12</v>
      </c>
      <c r="C5" s="9" t="s">
        <v>13</v>
      </c>
      <c r="D5" s="10">
        <v>1045</v>
      </c>
      <c r="E5" s="9" t="s">
        <v>14</v>
      </c>
      <c r="F5" s="14">
        <v>4759</v>
      </c>
      <c r="G5" s="14">
        <v>4787</v>
      </c>
      <c r="H5" s="14">
        <f>G5-F5</f>
        <v>28</v>
      </c>
      <c r="I5" s="12"/>
      <c r="J5" s="14">
        <v>4787</v>
      </c>
      <c r="K5" s="14">
        <v>4798</v>
      </c>
      <c r="L5" s="14">
        <f>K5-J5</f>
        <v>11</v>
      </c>
      <c r="M5" s="12"/>
      <c r="N5" s="14">
        <v>4798</v>
      </c>
      <c r="O5" s="14">
        <v>4809</v>
      </c>
      <c r="P5" s="14">
        <f>O5-N5</f>
        <v>11</v>
      </c>
      <c r="Q5" s="12"/>
      <c r="R5" s="14">
        <v>4809</v>
      </c>
      <c r="S5" s="14">
        <v>4820</v>
      </c>
      <c r="T5" s="14">
        <f>S5-R5</f>
        <v>11</v>
      </c>
      <c r="U5" s="12"/>
    </row>
    <row r="6" spans="1:21" ht="20.100000000000001" customHeight="1" x14ac:dyDescent="0.25">
      <c r="A6" s="7">
        <f t="shared" ref="A6:A66" si="0">A5+1</f>
        <v>2</v>
      </c>
      <c r="B6" s="8" t="s">
        <v>15</v>
      </c>
      <c r="C6" s="9" t="s">
        <v>16</v>
      </c>
      <c r="D6" s="10">
        <v>1045</v>
      </c>
      <c r="E6" s="9" t="s">
        <v>16</v>
      </c>
      <c r="F6" s="14">
        <v>194</v>
      </c>
      <c r="G6" s="14">
        <v>203</v>
      </c>
      <c r="H6" s="14">
        <f t="shared" ref="H6:H69" si="1">G6-F6</f>
        <v>9</v>
      </c>
      <c r="I6" s="12"/>
      <c r="J6" s="14">
        <v>203</v>
      </c>
      <c r="K6" s="14">
        <v>205</v>
      </c>
      <c r="L6" s="14">
        <f t="shared" ref="L6:L69" si="2">K6-J6</f>
        <v>2</v>
      </c>
      <c r="M6" s="12"/>
      <c r="N6" s="14">
        <v>205</v>
      </c>
      <c r="O6" s="14">
        <v>205</v>
      </c>
      <c r="P6" s="14">
        <f t="shared" ref="P6:P14" si="3">O6-N6</f>
        <v>0</v>
      </c>
      <c r="Q6" s="12"/>
      <c r="R6" s="14">
        <v>205</v>
      </c>
      <c r="S6" s="14">
        <v>208</v>
      </c>
      <c r="T6" s="14">
        <f t="shared" ref="T6:T14" si="4">S6-R6</f>
        <v>3</v>
      </c>
      <c r="U6" s="12"/>
    </row>
    <row r="7" spans="1:21" ht="20.100000000000001" hidden="1" customHeight="1" x14ac:dyDescent="0.25">
      <c r="A7" s="7">
        <f t="shared" si="0"/>
        <v>3</v>
      </c>
      <c r="B7" s="11" t="s">
        <v>15</v>
      </c>
      <c r="C7" s="13" t="s">
        <v>17</v>
      </c>
      <c r="D7" s="14" t="s">
        <v>18</v>
      </c>
      <c r="E7" s="13" t="s">
        <v>19</v>
      </c>
      <c r="F7" s="14">
        <v>1705</v>
      </c>
      <c r="G7" s="14">
        <v>1705</v>
      </c>
      <c r="H7" s="14">
        <f t="shared" si="1"/>
        <v>0</v>
      </c>
      <c r="I7" s="16">
        <v>24</v>
      </c>
      <c r="J7" s="14">
        <v>1705</v>
      </c>
      <c r="K7" s="14">
        <v>1705</v>
      </c>
      <c r="L7" s="14">
        <f t="shared" si="2"/>
        <v>0</v>
      </c>
      <c r="M7" s="16">
        <v>24</v>
      </c>
      <c r="N7" s="14">
        <v>1705</v>
      </c>
      <c r="O7" s="14">
        <v>1705</v>
      </c>
      <c r="P7" s="14">
        <f t="shared" si="3"/>
        <v>0</v>
      </c>
      <c r="Q7" s="16">
        <v>24</v>
      </c>
      <c r="R7" s="14">
        <v>1705</v>
      </c>
      <c r="S7" s="14">
        <v>1705</v>
      </c>
      <c r="T7" s="14">
        <f t="shared" si="4"/>
        <v>0</v>
      </c>
      <c r="U7" s="16">
        <v>24</v>
      </c>
    </row>
    <row r="8" spans="1:21" ht="20.100000000000001" customHeight="1" x14ac:dyDescent="0.25">
      <c r="A8" s="7">
        <f t="shared" si="0"/>
        <v>4</v>
      </c>
      <c r="B8" s="11" t="s">
        <v>15</v>
      </c>
      <c r="C8" s="13" t="s">
        <v>20</v>
      </c>
      <c r="D8" s="14" t="s">
        <v>18</v>
      </c>
      <c r="E8" s="13" t="s">
        <v>21</v>
      </c>
      <c r="F8" s="14">
        <v>31966</v>
      </c>
      <c r="G8" s="14">
        <v>31966</v>
      </c>
      <c r="H8" s="14">
        <f t="shared" si="1"/>
        <v>0</v>
      </c>
      <c r="I8" s="12"/>
      <c r="J8" s="14">
        <v>31966</v>
      </c>
      <c r="K8" s="14">
        <v>31966</v>
      </c>
      <c r="L8" s="14">
        <f t="shared" si="2"/>
        <v>0</v>
      </c>
      <c r="M8" s="12"/>
      <c r="N8" s="14">
        <v>31966</v>
      </c>
      <c r="O8" s="14">
        <v>31966</v>
      </c>
      <c r="P8" s="14">
        <f t="shared" si="3"/>
        <v>0</v>
      </c>
      <c r="Q8" s="12"/>
      <c r="R8" s="14">
        <v>31966</v>
      </c>
      <c r="S8" s="14">
        <v>31966</v>
      </c>
      <c r="T8" s="14">
        <f t="shared" si="4"/>
        <v>0</v>
      </c>
      <c r="U8" s="12"/>
    </row>
    <row r="9" spans="1:21" ht="20.100000000000001" customHeight="1" x14ac:dyDescent="0.25">
      <c r="A9" s="7">
        <f t="shared" si="0"/>
        <v>5</v>
      </c>
      <c r="B9" s="11" t="s">
        <v>12</v>
      </c>
      <c r="C9" s="13" t="s">
        <v>22</v>
      </c>
      <c r="D9" s="14" t="s">
        <v>18</v>
      </c>
      <c r="E9" s="13" t="s">
        <v>23</v>
      </c>
      <c r="F9" s="14">
        <v>2657</v>
      </c>
      <c r="G9" s="14">
        <v>2686</v>
      </c>
      <c r="H9" s="14">
        <f t="shared" si="1"/>
        <v>29</v>
      </c>
      <c r="I9" s="12"/>
      <c r="J9" s="14">
        <v>2686</v>
      </c>
      <c r="K9" s="14">
        <v>2698</v>
      </c>
      <c r="L9" s="14">
        <f t="shared" si="2"/>
        <v>12</v>
      </c>
      <c r="M9" s="12"/>
      <c r="N9" s="14">
        <v>2698</v>
      </c>
      <c r="O9" s="14">
        <v>2711</v>
      </c>
      <c r="P9" s="14">
        <f t="shared" si="3"/>
        <v>13</v>
      </c>
      <c r="Q9" s="12"/>
      <c r="R9" s="14">
        <v>2711</v>
      </c>
      <c r="S9" s="14">
        <v>2724</v>
      </c>
      <c r="T9" s="14">
        <f t="shared" si="4"/>
        <v>13</v>
      </c>
      <c r="U9" s="12"/>
    </row>
    <row r="10" spans="1:21" ht="20.100000000000001" customHeight="1" x14ac:dyDescent="0.25">
      <c r="A10" s="7">
        <f t="shared" si="0"/>
        <v>6</v>
      </c>
      <c r="B10" s="11" t="s">
        <v>12</v>
      </c>
      <c r="C10" s="13" t="s">
        <v>24</v>
      </c>
      <c r="D10" s="14" t="s">
        <v>18</v>
      </c>
      <c r="E10" s="13" t="s">
        <v>25</v>
      </c>
      <c r="F10" s="14">
        <v>12</v>
      </c>
      <c r="G10" s="14">
        <v>12</v>
      </c>
      <c r="H10" s="14">
        <f t="shared" si="1"/>
        <v>0</v>
      </c>
      <c r="I10" s="12"/>
      <c r="J10" s="14">
        <v>12</v>
      </c>
      <c r="K10" s="14">
        <v>12</v>
      </c>
      <c r="L10" s="14">
        <f t="shared" si="2"/>
        <v>0</v>
      </c>
      <c r="M10" s="12"/>
      <c r="N10" s="14">
        <v>12</v>
      </c>
      <c r="O10" s="14">
        <v>12</v>
      </c>
      <c r="P10" s="14">
        <f t="shared" si="3"/>
        <v>0</v>
      </c>
      <c r="Q10" s="12"/>
      <c r="R10" s="14">
        <v>12</v>
      </c>
      <c r="S10" s="14">
        <v>12</v>
      </c>
      <c r="T10" s="14">
        <f t="shared" si="4"/>
        <v>0</v>
      </c>
      <c r="U10" s="12"/>
    </row>
    <row r="11" spans="1:21" ht="20.100000000000001" customHeight="1" x14ac:dyDescent="0.25">
      <c r="A11" s="7">
        <f t="shared" si="0"/>
        <v>7</v>
      </c>
      <c r="B11" s="11" t="s">
        <v>15</v>
      </c>
      <c r="C11" s="13" t="s">
        <v>26</v>
      </c>
      <c r="D11" s="14" t="s">
        <v>18</v>
      </c>
      <c r="E11" s="13" t="s">
        <v>27</v>
      </c>
      <c r="F11" s="14">
        <v>22746</v>
      </c>
      <c r="G11" s="14">
        <v>22746</v>
      </c>
      <c r="H11" s="14">
        <f t="shared" si="1"/>
        <v>0</v>
      </c>
      <c r="I11" s="12"/>
      <c r="J11" s="14">
        <v>22746</v>
      </c>
      <c r="K11" s="14">
        <v>22746</v>
      </c>
      <c r="L11" s="14">
        <f t="shared" si="2"/>
        <v>0</v>
      </c>
      <c r="M11" s="12"/>
      <c r="N11" s="14">
        <v>22746</v>
      </c>
      <c r="O11" s="14">
        <v>22746</v>
      </c>
      <c r="P11" s="14">
        <f t="shared" si="3"/>
        <v>0</v>
      </c>
      <c r="Q11" s="12"/>
      <c r="R11" s="14">
        <v>22746</v>
      </c>
      <c r="S11" s="14">
        <v>22756</v>
      </c>
      <c r="T11" s="14">
        <f t="shared" si="4"/>
        <v>10</v>
      </c>
      <c r="U11" s="12"/>
    </row>
    <row r="12" spans="1:21" ht="20.100000000000001" customHeight="1" x14ac:dyDescent="0.25">
      <c r="A12" s="7">
        <f t="shared" si="0"/>
        <v>8</v>
      </c>
      <c r="B12" s="11" t="s">
        <v>28</v>
      </c>
      <c r="C12" s="13" t="s">
        <v>29</v>
      </c>
      <c r="D12" s="14" t="s">
        <v>18</v>
      </c>
      <c r="E12" s="13" t="s">
        <v>30</v>
      </c>
      <c r="F12" s="14">
        <v>5461</v>
      </c>
      <c r="G12" s="14">
        <v>5461</v>
      </c>
      <c r="H12" s="14">
        <f t="shared" si="1"/>
        <v>0</v>
      </c>
      <c r="I12" s="12"/>
      <c r="J12" s="14">
        <v>5461</v>
      </c>
      <c r="K12" s="14">
        <v>5461</v>
      </c>
      <c r="L12" s="14">
        <f t="shared" si="2"/>
        <v>0</v>
      </c>
      <c r="M12" s="12"/>
      <c r="N12" s="14">
        <v>5461</v>
      </c>
      <c r="O12" s="14">
        <v>5461</v>
      </c>
      <c r="P12" s="14">
        <f t="shared" si="3"/>
        <v>0</v>
      </c>
      <c r="Q12" s="12"/>
      <c r="R12" s="14">
        <v>5461</v>
      </c>
      <c r="S12" s="14">
        <v>5461</v>
      </c>
      <c r="T12" s="14">
        <f t="shared" si="4"/>
        <v>0</v>
      </c>
      <c r="U12" s="12"/>
    </row>
    <row r="13" spans="1:21" ht="20.100000000000001" customHeight="1" x14ac:dyDescent="0.25">
      <c r="A13" s="7">
        <f t="shared" si="0"/>
        <v>9</v>
      </c>
      <c r="B13" s="11" t="s">
        <v>12</v>
      </c>
      <c r="C13" s="13" t="s">
        <v>31</v>
      </c>
      <c r="D13" s="14" t="s">
        <v>18</v>
      </c>
      <c r="E13" s="13" t="s">
        <v>32</v>
      </c>
      <c r="F13" s="14">
        <v>497</v>
      </c>
      <c r="G13" s="14">
        <v>523</v>
      </c>
      <c r="H13" s="14">
        <f t="shared" si="1"/>
        <v>26</v>
      </c>
      <c r="I13" s="33"/>
      <c r="J13" s="14">
        <v>523</v>
      </c>
      <c r="K13" s="14">
        <v>535</v>
      </c>
      <c r="L13" s="14">
        <f t="shared" si="2"/>
        <v>12</v>
      </c>
      <c r="M13" s="33"/>
      <c r="N13" s="14">
        <v>535</v>
      </c>
      <c r="O13" s="14">
        <v>547</v>
      </c>
      <c r="P13" s="14">
        <f t="shared" si="3"/>
        <v>12</v>
      </c>
      <c r="Q13" s="33"/>
      <c r="R13" s="14">
        <v>547</v>
      </c>
      <c r="S13" s="14">
        <v>552</v>
      </c>
      <c r="T13" s="14">
        <f t="shared" si="4"/>
        <v>5</v>
      </c>
      <c r="U13" s="33"/>
    </row>
    <row r="14" spans="1:21" ht="20.100000000000001" customHeight="1" x14ac:dyDescent="0.25">
      <c r="A14" s="7">
        <f t="shared" si="0"/>
        <v>10</v>
      </c>
      <c r="B14" s="11" t="s">
        <v>15</v>
      </c>
      <c r="C14" s="13" t="s">
        <v>33</v>
      </c>
      <c r="D14" s="14" t="s">
        <v>18</v>
      </c>
      <c r="E14" s="13" t="s">
        <v>34</v>
      </c>
      <c r="F14" s="14">
        <v>2764</v>
      </c>
      <c r="G14" s="14">
        <v>2774</v>
      </c>
      <c r="H14" s="14">
        <f t="shared" si="1"/>
        <v>10</v>
      </c>
      <c r="I14" s="12"/>
      <c r="J14" s="14">
        <v>2774</v>
      </c>
      <c r="K14" s="14">
        <v>2775</v>
      </c>
      <c r="L14" s="14">
        <f t="shared" si="2"/>
        <v>1</v>
      </c>
      <c r="M14" s="12"/>
      <c r="N14" s="14">
        <v>2775</v>
      </c>
      <c r="O14" s="14">
        <v>2783</v>
      </c>
      <c r="P14" s="14">
        <f t="shared" si="3"/>
        <v>8</v>
      </c>
      <c r="Q14" s="12"/>
      <c r="R14" s="14">
        <v>2783</v>
      </c>
      <c r="S14" s="14">
        <v>2790</v>
      </c>
      <c r="T14" s="14">
        <f t="shared" si="4"/>
        <v>7</v>
      </c>
      <c r="U14" s="12"/>
    </row>
    <row r="15" spans="1:21" ht="20.100000000000001" customHeight="1" x14ac:dyDescent="0.25">
      <c r="A15" s="7">
        <f t="shared" si="0"/>
        <v>11</v>
      </c>
      <c r="B15" s="11" t="s">
        <v>15</v>
      </c>
      <c r="C15" s="13" t="s">
        <v>35</v>
      </c>
      <c r="D15" s="14" t="s">
        <v>18</v>
      </c>
      <c r="E15" s="13" t="s">
        <v>36</v>
      </c>
      <c r="F15" s="14">
        <v>298</v>
      </c>
      <c r="G15" s="14">
        <v>326</v>
      </c>
      <c r="H15" s="14">
        <f t="shared" si="1"/>
        <v>28</v>
      </c>
      <c r="I15" s="12"/>
      <c r="J15" s="14">
        <v>326</v>
      </c>
      <c r="K15" s="14">
        <v>326</v>
      </c>
      <c r="L15" s="14">
        <f>K15-J15</f>
        <v>0</v>
      </c>
      <c r="M15" s="12"/>
      <c r="N15" s="14">
        <v>326</v>
      </c>
      <c r="O15" s="14">
        <v>334</v>
      </c>
      <c r="P15" s="14">
        <f>O15-N15</f>
        <v>8</v>
      </c>
      <c r="Q15" s="12"/>
      <c r="R15" s="14">
        <v>334</v>
      </c>
      <c r="S15" s="14">
        <v>338</v>
      </c>
      <c r="T15" s="14">
        <f>S15-R15</f>
        <v>4</v>
      </c>
      <c r="U15" s="12"/>
    </row>
    <row r="16" spans="1:21" ht="20.100000000000001" customHeight="1" x14ac:dyDescent="0.25">
      <c r="A16" s="7">
        <f t="shared" si="0"/>
        <v>12</v>
      </c>
      <c r="B16" s="11" t="s">
        <v>15</v>
      </c>
      <c r="C16" s="13" t="s">
        <v>37</v>
      </c>
      <c r="D16" s="14" t="s">
        <v>18</v>
      </c>
      <c r="E16" s="13" t="s">
        <v>38</v>
      </c>
      <c r="F16" s="14">
        <v>5374</v>
      </c>
      <c r="G16" s="14">
        <v>5374</v>
      </c>
      <c r="H16" s="14">
        <f t="shared" si="1"/>
        <v>0</v>
      </c>
      <c r="I16" s="12"/>
      <c r="J16" s="14">
        <v>5374</v>
      </c>
      <c r="K16" s="14">
        <v>5374</v>
      </c>
      <c r="L16" s="14">
        <f t="shared" si="2"/>
        <v>0</v>
      </c>
      <c r="M16" s="12"/>
      <c r="N16" s="14">
        <v>5374</v>
      </c>
      <c r="O16" s="14">
        <v>5374</v>
      </c>
      <c r="P16" s="14">
        <f t="shared" ref="P16:P79" si="5">O16-N16</f>
        <v>0</v>
      </c>
      <c r="Q16" s="12"/>
      <c r="R16" s="14">
        <v>5374</v>
      </c>
      <c r="S16" s="14">
        <v>5374</v>
      </c>
      <c r="T16" s="14">
        <f t="shared" ref="T16:T79" si="6">S16-R16</f>
        <v>0</v>
      </c>
      <c r="U16" s="12"/>
    </row>
    <row r="17" spans="1:21" ht="20.100000000000001" customHeight="1" x14ac:dyDescent="0.25">
      <c r="A17" s="7">
        <f t="shared" si="0"/>
        <v>13</v>
      </c>
      <c r="B17" s="11" t="s">
        <v>15</v>
      </c>
      <c r="C17" s="13" t="s">
        <v>39</v>
      </c>
      <c r="D17" s="14" t="s">
        <v>18</v>
      </c>
      <c r="E17" s="13" t="s">
        <v>40</v>
      </c>
      <c r="F17" s="14">
        <v>13669</v>
      </c>
      <c r="G17" s="14">
        <v>13671</v>
      </c>
      <c r="H17" s="14">
        <f t="shared" si="1"/>
        <v>2</v>
      </c>
      <c r="I17" s="12"/>
      <c r="J17" s="14">
        <v>13671</v>
      </c>
      <c r="K17" s="14">
        <v>13671</v>
      </c>
      <c r="L17" s="14">
        <f t="shared" si="2"/>
        <v>0</v>
      </c>
      <c r="M17" s="12"/>
      <c r="N17" s="14">
        <v>13671</v>
      </c>
      <c r="O17" s="14">
        <v>13673</v>
      </c>
      <c r="P17" s="14">
        <f t="shared" si="5"/>
        <v>2</v>
      </c>
      <c r="Q17" s="12"/>
      <c r="R17" s="14">
        <v>13673</v>
      </c>
      <c r="S17" s="14">
        <v>13674</v>
      </c>
      <c r="T17" s="14">
        <f t="shared" si="6"/>
        <v>1</v>
      </c>
      <c r="U17" s="12"/>
    </row>
    <row r="18" spans="1:21" ht="20.100000000000001" hidden="1" customHeight="1" x14ac:dyDescent="0.25">
      <c r="A18" s="7">
        <f t="shared" si="0"/>
        <v>14</v>
      </c>
      <c r="B18" s="11" t="s">
        <v>15</v>
      </c>
      <c r="C18" s="13" t="s">
        <v>41</v>
      </c>
      <c r="D18" s="14" t="s">
        <v>18</v>
      </c>
      <c r="E18" s="13" t="s">
        <v>42</v>
      </c>
      <c r="F18" s="14">
        <v>6743</v>
      </c>
      <c r="G18" s="14">
        <v>6743</v>
      </c>
      <c r="H18" s="14">
        <f t="shared" si="1"/>
        <v>0</v>
      </c>
      <c r="I18" s="16">
        <v>24</v>
      </c>
      <c r="J18" s="14">
        <v>6743</v>
      </c>
      <c r="K18" s="14">
        <v>6743</v>
      </c>
      <c r="L18" s="14">
        <f t="shared" si="2"/>
        <v>0</v>
      </c>
      <c r="M18" s="16">
        <v>24</v>
      </c>
      <c r="N18" s="14">
        <v>6743</v>
      </c>
      <c r="O18" s="14">
        <v>6743</v>
      </c>
      <c r="P18" s="14">
        <f t="shared" si="5"/>
        <v>0</v>
      </c>
      <c r="Q18" s="16">
        <v>24</v>
      </c>
      <c r="R18" s="14">
        <v>6743</v>
      </c>
      <c r="S18" s="14">
        <v>6743</v>
      </c>
      <c r="T18" s="14">
        <f t="shared" si="6"/>
        <v>0</v>
      </c>
      <c r="U18" s="16">
        <v>24</v>
      </c>
    </row>
    <row r="19" spans="1:21" ht="20.100000000000001" customHeight="1" x14ac:dyDescent="0.25">
      <c r="A19" s="7">
        <f t="shared" si="0"/>
        <v>15</v>
      </c>
      <c r="B19" s="11" t="s">
        <v>15</v>
      </c>
      <c r="C19" s="13" t="s">
        <v>43</v>
      </c>
      <c r="D19" s="14" t="s">
        <v>18</v>
      </c>
      <c r="E19" s="13" t="s">
        <v>44</v>
      </c>
      <c r="F19" s="14">
        <v>1190</v>
      </c>
      <c r="G19" s="14">
        <v>1203</v>
      </c>
      <c r="H19" s="14">
        <f t="shared" si="1"/>
        <v>13</v>
      </c>
      <c r="I19" s="12"/>
      <c r="J19" s="14">
        <v>1203</v>
      </c>
      <c r="K19" s="14">
        <v>1212</v>
      </c>
      <c r="L19" s="14">
        <f t="shared" si="2"/>
        <v>9</v>
      </c>
      <c r="M19" s="12"/>
      <c r="N19" s="14">
        <v>1212</v>
      </c>
      <c r="O19" s="14">
        <v>1214</v>
      </c>
      <c r="P19" s="14">
        <f t="shared" si="5"/>
        <v>2</v>
      </c>
      <c r="Q19" s="12"/>
      <c r="R19" s="14">
        <v>1214</v>
      </c>
      <c r="S19" s="14">
        <v>1221</v>
      </c>
      <c r="T19" s="14">
        <f t="shared" si="6"/>
        <v>7</v>
      </c>
      <c r="U19" s="12"/>
    </row>
    <row r="20" spans="1:21" ht="20.100000000000001" customHeight="1" x14ac:dyDescent="0.25">
      <c r="A20" s="7">
        <f t="shared" si="0"/>
        <v>16</v>
      </c>
      <c r="B20" s="11" t="s">
        <v>45</v>
      </c>
      <c r="C20" s="13" t="s">
        <v>46</v>
      </c>
      <c r="D20" s="14" t="s">
        <v>18</v>
      </c>
      <c r="E20" s="13" t="s">
        <v>47</v>
      </c>
      <c r="F20" s="14">
        <v>2934</v>
      </c>
      <c r="G20" s="14">
        <v>2935</v>
      </c>
      <c r="H20" s="14">
        <f t="shared" si="1"/>
        <v>1</v>
      </c>
      <c r="I20" s="12"/>
      <c r="J20" s="14">
        <v>2935</v>
      </c>
      <c r="K20" s="14">
        <v>2936</v>
      </c>
      <c r="L20" s="14">
        <f t="shared" si="2"/>
        <v>1</v>
      </c>
      <c r="M20" s="12"/>
      <c r="N20" s="14">
        <v>2936</v>
      </c>
      <c r="O20" s="14">
        <v>2943</v>
      </c>
      <c r="P20" s="14">
        <f t="shared" si="5"/>
        <v>7</v>
      </c>
      <c r="Q20" s="12"/>
      <c r="R20" s="14">
        <v>2943</v>
      </c>
      <c r="S20" s="14">
        <v>2944</v>
      </c>
      <c r="T20" s="14">
        <f t="shared" si="6"/>
        <v>1</v>
      </c>
      <c r="U20" s="12"/>
    </row>
    <row r="21" spans="1:21" ht="20.100000000000001" customHeight="1" x14ac:dyDescent="0.25">
      <c r="A21" s="7">
        <f t="shared" si="0"/>
        <v>17</v>
      </c>
      <c r="B21" s="11" t="s">
        <v>48</v>
      </c>
      <c r="C21" s="13" t="s">
        <v>49</v>
      </c>
      <c r="D21" s="14" t="s">
        <v>18</v>
      </c>
      <c r="E21" s="13" t="s">
        <v>50</v>
      </c>
      <c r="F21" s="14">
        <v>955</v>
      </c>
      <c r="G21" s="14">
        <v>955</v>
      </c>
      <c r="H21" s="14">
        <f t="shared" si="1"/>
        <v>0</v>
      </c>
      <c r="I21" s="12"/>
      <c r="J21" s="14">
        <v>955</v>
      </c>
      <c r="K21" s="14">
        <v>955</v>
      </c>
      <c r="L21" s="14">
        <f t="shared" si="2"/>
        <v>0</v>
      </c>
      <c r="M21" s="12"/>
      <c r="N21" s="14">
        <v>955</v>
      </c>
      <c r="O21" s="14">
        <v>955</v>
      </c>
      <c r="P21" s="14">
        <f t="shared" si="5"/>
        <v>0</v>
      </c>
      <c r="Q21" s="12"/>
      <c r="R21" s="14">
        <v>955</v>
      </c>
      <c r="S21" s="14">
        <v>955</v>
      </c>
      <c r="T21" s="14">
        <f t="shared" si="6"/>
        <v>0</v>
      </c>
      <c r="U21" s="12"/>
    </row>
    <row r="22" spans="1:21" ht="20.100000000000001" customHeight="1" x14ac:dyDescent="0.25">
      <c r="A22" s="7">
        <f t="shared" si="0"/>
        <v>18</v>
      </c>
      <c r="B22" s="11" t="s">
        <v>51</v>
      </c>
      <c r="C22" s="13" t="s">
        <v>52</v>
      </c>
      <c r="D22" s="14" t="s">
        <v>18</v>
      </c>
      <c r="E22" s="13" t="s">
        <v>53</v>
      </c>
      <c r="F22" s="14">
        <v>12914</v>
      </c>
      <c r="G22" s="14">
        <v>12914</v>
      </c>
      <c r="H22" s="14">
        <f t="shared" si="1"/>
        <v>0</v>
      </c>
      <c r="I22" s="12"/>
      <c r="J22" s="14">
        <v>12914</v>
      </c>
      <c r="K22" s="14">
        <v>12914</v>
      </c>
      <c r="L22" s="14">
        <f t="shared" si="2"/>
        <v>0</v>
      </c>
      <c r="M22" s="12"/>
      <c r="N22" s="14">
        <v>12914</v>
      </c>
      <c r="O22" s="14">
        <v>12914</v>
      </c>
      <c r="P22" s="14">
        <f t="shared" si="5"/>
        <v>0</v>
      </c>
      <c r="Q22" s="12"/>
      <c r="R22" s="14">
        <v>12914</v>
      </c>
      <c r="S22" s="14">
        <v>12914</v>
      </c>
      <c r="T22" s="14">
        <f t="shared" si="6"/>
        <v>0</v>
      </c>
      <c r="U22" s="12"/>
    </row>
    <row r="23" spans="1:21" ht="20.100000000000001" hidden="1" customHeight="1" x14ac:dyDescent="0.25">
      <c r="A23" s="7">
        <f t="shared" si="0"/>
        <v>19</v>
      </c>
      <c r="B23" s="11" t="s">
        <v>54</v>
      </c>
      <c r="C23" s="13" t="s">
        <v>55</v>
      </c>
      <c r="D23" s="14" t="s">
        <v>18</v>
      </c>
      <c r="E23" s="13" t="s">
        <v>56</v>
      </c>
      <c r="F23" s="14">
        <v>5013</v>
      </c>
      <c r="G23" s="14">
        <v>5013</v>
      </c>
      <c r="H23" s="14">
        <f t="shared" si="1"/>
        <v>0</v>
      </c>
      <c r="I23" s="16">
        <v>24</v>
      </c>
      <c r="J23" s="14">
        <v>5013</v>
      </c>
      <c r="K23" s="14">
        <v>5013</v>
      </c>
      <c r="L23" s="14">
        <f t="shared" si="2"/>
        <v>0</v>
      </c>
      <c r="M23" s="16">
        <v>24</v>
      </c>
      <c r="N23" s="14">
        <v>5013</v>
      </c>
      <c r="O23" s="14">
        <v>5013</v>
      </c>
      <c r="P23" s="14">
        <f t="shared" si="5"/>
        <v>0</v>
      </c>
      <c r="Q23" s="16">
        <v>24</v>
      </c>
      <c r="R23" s="14">
        <v>5013</v>
      </c>
      <c r="S23" s="14">
        <v>5013</v>
      </c>
      <c r="T23" s="14">
        <f t="shared" si="6"/>
        <v>0</v>
      </c>
      <c r="U23" s="16">
        <v>24</v>
      </c>
    </row>
    <row r="24" spans="1:21" ht="20.100000000000001" customHeight="1" x14ac:dyDescent="0.25">
      <c r="A24" s="7">
        <f t="shared" si="0"/>
        <v>20</v>
      </c>
      <c r="B24" s="11" t="s">
        <v>57</v>
      </c>
      <c r="C24" s="15" t="s">
        <v>58</v>
      </c>
      <c r="D24" s="14" t="s">
        <v>18</v>
      </c>
      <c r="E24" s="13" t="s">
        <v>59</v>
      </c>
      <c r="F24" s="14">
        <v>8309</v>
      </c>
      <c r="G24" s="14">
        <v>8318</v>
      </c>
      <c r="H24" s="14">
        <f t="shared" si="1"/>
        <v>9</v>
      </c>
      <c r="I24" s="33"/>
      <c r="J24" s="14">
        <v>8318</v>
      </c>
      <c r="K24" s="14">
        <v>8326</v>
      </c>
      <c r="L24" s="14">
        <f t="shared" si="2"/>
        <v>8</v>
      </c>
      <c r="M24" s="33"/>
      <c r="N24" s="14">
        <v>8326</v>
      </c>
      <c r="O24" s="14">
        <v>8336</v>
      </c>
      <c r="P24" s="14">
        <f t="shared" si="5"/>
        <v>10</v>
      </c>
      <c r="Q24" s="33"/>
      <c r="R24" s="14">
        <v>8336</v>
      </c>
      <c r="S24" s="14">
        <v>8348</v>
      </c>
      <c r="T24" s="14">
        <f t="shared" si="6"/>
        <v>12</v>
      </c>
      <c r="U24" s="33"/>
    </row>
    <row r="25" spans="1:21" ht="20.100000000000001" customHeight="1" x14ac:dyDescent="0.25">
      <c r="A25" s="7">
        <f t="shared" si="0"/>
        <v>21</v>
      </c>
      <c r="B25" s="11" t="s">
        <v>60</v>
      </c>
      <c r="C25" s="13" t="s">
        <v>61</v>
      </c>
      <c r="D25" s="14" t="s">
        <v>18</v>
      </c>
      <c r="E25" s="13" t="s">
        <v>62</v>
      </c>
      <c r="F25" s="14">
        <v>6793</v>
      </c>
      <c r="G25" s="14">
        <v>6807</v>
      </c>
      <c r="H25" s="14">
        <f t="shared" si="1"/>
        <v>14</v>
      </c>
      <c r="I25" s="12"/>
      <c r="J25" s="14">
        <v>6807</v>
      </c>
      <c r="K25" s="14">
        <v>6807</v>
      </c>
      <c r="L25" s="14">
        <f t="shared" si="2"/>
        <v>0</v>
      </c>
      <c r="M25" s="12"/>
      <c r="N25" s="14">
        <v>6807</v>
      </c>
      <c r="O25" s="14">
        <v>6818</v>
      </c>
      <c r="P25" s="14">
        <f t="shared" si="5"/>
        <v>11</v>
      </c>
      <c r="Q25" s="12"/>
      <c r="R25" s="14">
        <v>6818</v>
      </c>
      <c r="S25" s="14">
        <v>6830</v>
      </c>
      <c r="T25" s="14">
        <f t="shared" si="6"/>
        <v>12</v>
      </c>
      <c r="U25" s="12"/>
    </row>
    <row r="26" spans="1:21" ht="20.100000000000001" customHeight="1" x14ac:dyDescent="0.25">
      <c r="A26" s="7">
        <f t="shared" si="0"/>
        <v>22</v>
      </c>
      <c r="B26" s="11" t="s">
        <v>15</v>
      </c>
      <c r="C26" s="13" t="s">
        <v>63</v>
      </c>
      <c r="D26" s="14" t="s">
        <v>18</v>
      </c>
      <c r="E26" s="13" t="s">
        <v>64</v>
      </c>
      <c r="F26" s="14">
        <v>13382</v>
      </c>
      <c r="G26" s="14">
        <v>13403</v>
      </c>
      <c r="H26" s="14">
        <f t="shared" si="1"/>
        <v>21</v>
      </c>
      <c r="I26" s="12"/>
      <c r="J26" s="14">
        <v>13403</v>
      </c>
      <c r="K26" s="14">
        <v>13414</v>
      </c>
      <c r="L26" s="14">
        <f t="shared" si="2"/>
        <v>11</v>
      </c>
      <c r="M26" s="12"/>
      <c r="N26" s="14">
        <v>13414</v>
      </c>
      <c r="O26" s="14">
        <v>13424</v>
      </c>
      <c r="P26" s="14">
        <f t="shared" si="5"/>
        <v>10</v>
      </c>
      <c r="Q26" s="12"/>
      <c r="R26" s="14">
        <v>13424</v>
      </c>
      <c r="S26" s="14">
        <v>13434</v>
      </c>
      <c r="T26" s="14">
        <f t="shared" si="6"/>
        <v>10</v>
      </c>
      <c r="U26" s="12"/>
    </row>
    <row r="27" spans="1:21" ht="20.100000000000001" customHeight="1" x14ac:dyDescent="0.25">
      <c r="A27" s="7">
        <f t="shared" si="0"/>
        <v>23</v>
      </c>
      <c r="B27" s="17" t="s">
        <v>65</v>
      </c>
      <c r="C27" s="18" t="s">
        <v>66</v>
      </c>
      <c r="D27" s="19" t="s">
        <v>18</v>
      </c>
      <c r="E27" s="18" t="s">
        <v>67</v>
      </c>
      <c r="F27" s="14">
        <v>25632</v>
      </c>
      <c r="G27" s="14">
        <v>25632</v>
      </c>
      <c r="H27" s="14">
        <f t="shared" si="1"/>
        <v>0</v>
      </c>
      <c r="I27" s="10"/>
      <c r="J27" s="14">
        <v>25632</v>
      </c>
      <c r="K27" s="14">
        <v>25632</v>
      </c>
      <c r="L27" s="14">
        <f t="shared" si="2"/>
        <v>0</v>
      </c>
      <c r="M27" s="10"/>
      <c r="N27" s="14">
        <v>25632</v>
      </c>
      <c r="O27" s="14">
        <v>25632</v>
      </c>
      <c r="P27" s="14">
        <f t="shared" si="5"/>
        <v>0</v>
      </c>
      <c r="Q27" s="10"/>
      <c r="R27" s="14">
        <v>25632</v>
      </c>
      <c r="S27" s="14">
        <v>25632</v>
      </c>
      <c r="T27" s="14">
        <f t="shared" si="6"/>
        <v>0</v>
      </c>
      <c r="U27" s="10"/>
    </row>
    <row r="28" spans="1:21" ht="20.100000000000001" customHeight="1" x14ac:dyDescent="0.25">
      <c r="A28" s="7">
        <f t="shared" si="0"/>
        <v>24</v>
      </c>
      <c r="B28" s="11" t="s">
        <v>68</v>
      </c>
      <c r="C28" s="13" t="s">
        <v>69</v>
      </c>
      <c r="D28" s="14" t="s">
        <v>18</v>
      </c>
      <c r="E28" s="13" t="s">
        <v>70</v>
      </c>
      <c r="F28" s="14">
        <v>2328</v>
      </c>
      <c r="G28" s="14">
        <v>2374</v>
      </c>
      <c r="H28" s="14">
        <f t="shared" si="1"/>
        <v>46</v>
      </c>
      <c r="I28" s="12"/>
      <c r="J28" s="14">
        <v>2374</v>
      </c>
      <c r="K28" s="14">
        <v>2395</v>
      </c>
      <c r="L28" s="14">
        <f t="shared" si="2"/>
        <v>21</v>
      </c>
      <c r="M28" s="12"/>
      <c r="N28" s="14">
        <v>2395</v>
      </c>
      <c r="O28" s="14">
        <v>2417</v>
      </c>
      <c r="P28" s="14">
        <f t="shared" si="5"/>
        <v>22</v>
      </c>
      <c r="Q28" s="12"/>
      <c r="R28" s="14">
        <v>2417</v>
      </c>
      <c r="S28" s="14">
        <v>2439</v>
      </c>
      <c r="T28" s="14">
        <f t="shared" si="6"/>
        <v>22</v>
      </c>
      <c r="U28" s="12"/>
    </row>
    <row r="29" spans="1:21" ht="20.100000000000001" customHeight="1" x14ac:dyDescent="0.25">
      <c r="A29" s="7">
        <f t="shared" si="0"/>
        <v>25</v>
      </c>
      <c r="B29" s="8" t="s">
        <v>15</v>
      </c>
      <c r="C29" s="9" t="s">
        <v>71</v>
      </c>
      <c r="D29" s="10" t="s">
        <v>18</v>
      </c>
      <c r="E29" s="9" t="s">
        <v>72</v>
      </c>
      <c r="F29" s="14">
        <v>803</v>
      </c>
      <c r="G29" s="14">
        <v>804</v>
      </c>
      <c r="H29" s="14">
        <f t="shared" si="1"/>
        <v>1</v>
      </c>
      <c r="I29" s="12"/>
      <c r="J29" s="14">
        <v>804</v>
      </c>
      <c r="K29" s="14">
        <v>804</v>
      </c>
      <c r="L29" s="14">
        <f t="shared" si="2"/>
        <v>0</v>
      </c>
      <c r="M29" s="12"/>
      <c r="N29" s="14">
        <v>804</v>
      </c>
      <c r="O29" s="14">
        <v>804</v>
      </c>
      <c r="P29" s="14">
        <f t="shared" si="5"/>
        <v>0</v>
      </c>
      <c r="Q29" s="12"/>
      <c r="R29" s="14">
        <v>804</v>
      </c>
      <c r="S29" s="14">
        <v>804</v>
      </c>
      <c r="T29" s="14">
        <f t="shared" si="6"/>
        <v>0</v>
      </c>
      <c r="U29" s="12"/>
    </row>
    <row r="30" spans="1:21" ht="20.100000000000001" customHeight="1" x14ac:dyDescent="0.25">
      <c r="A30" s="7">
        <f t="shared" si="0"/>
        <v>26</v>
      </c>
      <c r="B30" s="11" t="s">
        <v>12</v>
      </c>
      <c r="C30" s="15" t="s">
        <v>73</v>
      </c>
      <c r="D30" s="14" t="s">
        <v>18</v>
      </c>
      <c r="E30" s="13" t="s">
        <v>74</v>
      </c>
      <c r="F30" s="14">
        <v>1214</v>
      </c>
      <c r="G30" s="14">
        <v>1284</v>
      </c>
      <c r="H30" s="14">
        <f t="shared" si="1"/>
        <v>70</v>
      </c>
      <c r="I30" s="12"/>
      <c r="J30" s="14">
        <v>1238</v>
      </c>
      <c r="K30" s="14">
        <v>1250</v>
      </c>
      <c r="L30" s="14">
        <f t="shared" si="2"/>
        <v>12</v>
      </c>
      <c r="M30" s="12"/>
      <c r="N30" s="14">
        <v>1250</v>
      </c>
      <c r="O30" s="14">
        <v>1261</v>
      </c>
      <c r="P30" s="14">
        <f t="shared" si="5"/>
        <v>11</v>
      </c>
      <c r="Q30" s="12"/>
      <c r="R30" s="14">
        <v>1261</v>
      </c>
      <c r="S30" s="14">
        <v>1272</v>
      </c>
      <c r="T30" s="14">
        <f t="shared" si="6"/>
        <v>11</v>
      </c>
      <c r="U30" s="12"/>
    </row>
    <row r="31" spans="1:21" ht="20.100000000000001" customHeight="1" x14ac:dyDescent="0.25">
      <c r="A31" s="7">
        <f t="shared" si="0"/>
        <v>27</v>
      </c>
      <c r="B31" s="20" t="s">
        <v>28</v>
      </c>
      <c r="C31" s="13" t="s">
        <v>75</v>
      </c>
      <c r="D31" s="21" t="s">
        <v>18</v>
      </c>
      <c r="E31" s="13" t="s">
        <v>76</v>
      </c>
      <c r="F31" s="14">
        <v>13928</v>
      </c>
      <c r="G31" s="14">
        <v>13928</v>
      </c>
      <c r="H31" s="14">
        <f t="shared" si="1"/>
        <v>0</v>
      </c>
      <c r="I31" s="12"/>
      <c r="J31" s="14">
        <v>13928</v>
      </c>
      <c r="K31" s="14">
        <v>13928</v>
      </c>
      <c r="L31" s="14">
        <f t="shared" si="2"/>
        <v>0</v>
      </c>
      <c r="M31" s="12"/>
      <c r="N31" s="14">
        <v>13928</v>
      </c>
      <c r="O31" s="14">
        <v>13928</v>
      </c>
      <c r="P31" s="14">
        <f t="shared" si="5"/>
        <v>0</v>
      </c>
      <c r="Q31" s="12"/>
      <c r="R31" s="14">
        <v>13928</v>
      </c>
      <c r="S31" s="14">
        <v>13928</v>
      </c>
      <c r="T31" s="14">
        <f t="shared" si="6"/>
        <v>0</v>
      </c>
      <c r="U31" s="12"/>
    </row>
    <row r="32" spans="1:21" ht="20.100000000000001" customHeight="1" x14ac:dyDescent="0.25">
      <c r="A32" s="7">
        <f t="shared" si="0"/>
        <v>28</v>
      </c>
      <c r="B32" s="11" t="s">
        <v>15</v>
      </c>
      <c r="C32" s="13" t="s">
        <v>77</v>
      </c>
      <c r="D32" s="14" t="s">
        <v>18</v>
      </c>
      <c r="E32" s="29">
        <v>4100162</v>
      </c>
      <c r="F32" s="14">
        <v>7935</v>
      </c>
      <c r="G32" s="14">
        <v>7948</v>
      </c>
      <c r="H32" s="14">
        <f t="shared" si="1"/>
        <v>13</v>
      </c>
      <c r="I32" s="12"/>
      <c r="J32" s="14">
        <v>7948</v>
      </c>
      <c r="K32" s="14">
        <v>7948</v>
      </c>
      <c r="L32" s="14">
        <f t="shared" si="2"/>
        <v>0</v>
      </c>
      <c r="M32" s="12"/>
      <c r="N32" s="14">
        <v>7948</v>
      </c>
      <c r="O32" s="14">
        <v>7953</v>
      </c>
      <c r="P32" s="14">
        <f t="shared" si="5"/>
        <v>5</v>
      </c>
      <c r="Q32" s="12"/>
      <c r="R32" s="14">
        <v>7953</v>
      </c>
      <c r="S32" s="14">
        <v>7953</v>
      </c>
      <c r="T32" s="14">
        <f t="shared" si="6"/>
        <v>0</v>
      </c>
      <c r="U32" s="12"/>
    </row>
    <row r="33" spans="1:21" ht="20.100000000000001" hidden="1" customHeight="1" x14ac:dyDescent="0.25">
      <c r="A33" s="7">
        <f t="shared" si="0"/>
        <v>29</v>
      </c>
      <c r="B33" s="11" t="s">
        <v>15</v>
      </c>
      <c r="C33" s="13" t="s">
        <v>78</v>
      </c>
      <c r="D33" s="14" t="s">
        <v>18</v>
      </c>
      <c r="E33" s="29">
        <v>4100163</v>
      </c>
      <c r="F33" s="14">
        <v>5305</v>
      </c>
      <c r="G33" s="14">
        <v>5305</v>
      </c>
      <c r="H33" s="14">
        <f t="shared" si="1"/>
        <v>0</v>
      </c>
      <c r="I33" s="16">
        <v>24</v>
      </c>
      <c r="J33" s="14">
        <v>5305</v>
      </c>
      <c r="K33" s="14">
        <v>5305</v>
      </c>
      <c r="L33" s="14">
        <f t="shared" si="2"/>
        <v>0</v>
      </c>
      <c r="M33" s="16">
        <v>24</v>
      </c>
      <c r="N33" s="14">
        <v>5305</v>
      </c>
      <c r="O33" s="14">
        <v>5305</v>
      </c>
      <c r="P33" s="14">
        <f t="shared" si="5"/>
        <v>0</v>
      </c>
      <c r="Q33" s="16">
        <v>24</v>
      </c>
      <c r="R33" s="14">
        <v>5305</v>
      </c>
      <c r="S33" s="14">
        <v>5305</v>
      </c>
      <c r="T33" s="14">
        <f t="shared" si="6"/>
        <v>0</v>
      </c>
      <c r="U33" s="16">
        <v>24</v>
      </c>
    </row>
    <row r="34" spans="1:21" ht="20.100000000000001" hidden="1" customHeight="1" x14ac:dyDescent="0.25">
      <c r="A34" s="7">
        <f t="shared" si="0"/>
        <v>30</v>
      </c>
      <c r="B34" s="11" t="s">
        <v>15</v>
      </c>
      <c r="C34" s="13" t="s">
        <v>79</v>
      </c>
      <c r="D34" s="14" t="s">
        <v>18</v>
      </c>
      <c r="E34" s="29">
        <v>4100164</v>
      </c>
      <c r="F34" s="14">
        <v>8908</v>
      </c>
      <c r="G34" s="14">
        <v>8908</v>
      </c>
      <c r="H34" s="14">
        <f t="shared" si="1"/>
        <v>0</v>
      </c>
      <c r="I34" s="16">
        <v>24</v>
      </c>
      <c r="J34" s="14">
        <v>8908</v>
      </c>
      <c r="K34" s="14">
        <v>8908</v>
      </c>
      <c r="L34" s="14">
        <f t="shared" si="2"/>
        <v>0</v>
      </c>
      <c r="M34" s="16">
        <v>24</v>
      </c>
      <c r="N34" s="14">
        <v>8908</v>
      </c>
      <c r="O34" s="14">
        <v>8908</v>
      </c>
      <c r="P34" s="14">
        <f t="shared" si="5"/>
        <v>0</v>
      </c>
      <c r="Q34" s="16">
        <v>24</v>
      </c>
      <c r="R34" s="14">
        <v>8908</v>
      </c>
      <c r="S34" s="14">
        <v>8908</v>
      </c>
      <c r="T34" s="14">
        <f t="shared" si="6"/>
        <v>0</v>
      </c>
      <c r="U34" s="16">
        <v>24</v>
      </c>
    </row>
    <row r="35" spans="1:21" ht="20.100000000000001" hidden="1" customHeight="1" x14ac:dyDescent="0.25">
      <c r="A35" s="7">
        <f t="shared" si="0"/>
        <v>31</v>
      </c>
      <c r="B35" s="20" t="s">
        <v>12</v>
      </c>
      <c r="C35" s="13" t="s">
        <v>80</v>
      </c>
      <c r="D35" s="21" t="s">
        <v>18</v>
      </c>
      <c r="E35" s="29">
        <v>4100167</v>
      </c>
      <c r="F35" s="14">
        <v>4185</v>
      </c>
      <c r="G35" s="14">
        <v>4185</v>
      </c>
      <c r="H35" s="14">
        <f t="shared" si="1"/>
        <v>0</v>
      </c>
      <c r="I35" s="12"/>
      <c r="J35" s="14">
        <v>4185</v>
      </c>
      <c r="K35" s="14">
        <v>4185</v>
      </c>
      <c r="L35" s="14">
        <f t="shared" si="2"/>
        <v>0</v>
      </c>
      <c r="M35" s="16">
        <v>24</v>
      </c>
      <c r="N35" s="14">
        <v>4185</v>
      </c>
      <c r="O35" s="14">
        <v>4185</v>
      </c>
      <c r="P35" s="14">
        <f t="shared" si="5"/>
        <v>0</v>
      </c>
      <c r="Q35" s="16">
        <v>24</v>
      </c>
      <c r="R35" s="14">
        <v>4185</v>
      </c>
      <c r="S35" s="14">
        <v>4185</v>
      </c>
      <c r="T35" s="14">
        <f t="shared" si="6"/>
        <v>0</v>
      </c>
      <c r="U35" s="16">
        <v>24</v>
      </c>
    </row>
    <row r="36" spans="1:21" ht="20.100000000000001" customHeight="1" x14ac:dyDescent="0.25">
      <c r="A36" s="7">
        <f t="shared" si="0"/>
        <v>32</v>
      </c>
      <c r="B36" s="11" t="s">
        <v>15</v>
      </c>
      <c r="C36" s="13" t="s">
        <v>81</v>
      </c>
      <c r="D36" s="14" t="s">
        <v>18</v>
      </c>
      <c r="E36" s="29">
        <v>4100171</v>
      </c>
      <c r="F36" s="14">
        <v>229</v>
      </c>
      <c r="G36" s="14">
        <v>229</v>
      </c>
      <c r="H36" s="14">
        <f t="shared" si="1"/>
        <v>0</v>
      </c>
      <c r="I36" s="12"/>
      <c r="J36" s="14">
        <v>229</v>
      </c>
      <c r="K36" s="14">
        <v>231</v>
      </c>
      <c r="L36" s="14">
        <f t="shared" si="2"/>
        <v>2</v>
      </c>
      <c r="M36" s="12"/>
      <c r="N36" s="14">
        <v>231</v>
      </c>
      <c r="O36" s="14">
        <v>231</v>
      </c>
      <c r="P36" s="14">
        <f t="shared" si="5"/>
        <v>0</v>
      </c>
      <c r="Q36" s="12"/>
      <c r="R36" s="14">
        <v>231</v>
      </c>
      <c r="S36" s="14">
        <v>231</v>
      </c>
      <c r="T36" s="14">
        <f t="shared" si="6"/>
        <v>0</v>
      </c>
      <c r="U36" s="12"/>
    </row>
    <row r="37" spans="1:21" ht="20.100000000000001" customHeight="1" x14ac:dyDescent="0.25">
      <c r="A37" s="7">
        <f t="shared" si="0"/>
        <v>33</v>
      </c>
      <c r="B37" s="11" t="s">
        <v>68</v>
      </c>
      <c r="C37" s="13" t="s">
        <v>82</v>
      </c>
      <c r="D37" s="14" t="s">
        <v>18</v>
      </c>
      <c r="E37" s="29">
        <v>4100174</v>
      </c>
      <c r="F37" s="14">
        <v>4487</v>
      </c>
      <c r="G37" s="14">
        <v>4491</v>
      </c>
      <c r="H37" s="14">
        <f t="shared" si="1"/>
        <v>4</v>
      </c>
      <c r="I37" s="12"/>
      <c r="J37" s="14">
        <v>4491</v>
      </c>
      <c r="K37" s="14">
        <v>4492</v>
      </c>
      <c r="L37" s="14">
        <f t="shared" si="2"/>
        <v>1</v>
      </c>
      <c r="M37" s="12"/>
      <c r="N37" s="14">
        <v>4492</v>
      </c>
      <c r="O37" s="14">
        <v>4494</v>
      </c>
      <c r="P37" s="14">
        <f t="shared" si="5"/>
        <v>2</v>
      </c>
      <c r="Q37" s="12"/>
      <c r="R37" s="14">
        <v>4494</v>
      </c>
      <c r="S37" s="14">
        <v>4496</v>
      </c>
      <c r="T37" s="14">
        <f t="shared" si="6"/>
        <v>2</v>
      </c>
      <c r="U37" s="12"/>
    </row>
    <row r="38" spans="1:21" ht="20.100000000000001" hidden="1" customHeight="1" x14ac:dyDescent="0.25">
      <c r="A38" s="7">
        <f t="shared" si="0"/>
        <v>34</v>
      </c>
      <c r="B38" s="11" t="s">
        <v>48</v>
      </c>
      <c r="C38" s="13" t="s">
        <v>83</v>
      </c>
      <c r="D38" s="14" t="s">
        <v>18</v>
      </c>
      <c r="E38" s="29">
        <v>4100176</v>
      </c>
      <c r="F38" s="14">
        <v>790</v>
      </c>
      <c r="G38" s="14">
        <v>790</v>
      </c>
      <c r="H38" s="14">
        <f t="shared" si="1"/>
        <v>0</v>
      </c>
      <c r="I38" s="16">
        <v>24</v>
      </c>
      <c r="J38" s="14">
        <v>790</v>
      </c>
      <c r="K38" s="14">
        <v>790</v>
      </c>
      <c r="L38" s="14">
        <f t="shared" si="2"/>
        <v>0</v>
      </c>
      <c r="M38" s="16">
        <v>24</v>
      </c>
      <c r="N38" s="14">
        <v>790</v>
      </c>
      <c r="O38" s="14">
        <v>790</v>
      </c>
      <c r="P38" s="14">
        <f t="shared" si="5"/>
        <v>0</v>
      </c>
      <c r="Q38" s="16">
        <v>24</v>
      </c>
      <c r="R38" s="14">
        <v>790</v>
      </c>
      <c r="S38" s="14">
        <v>790</v>
      </c>
      <c r="T38" s="14">
        <f t="shared" si="6"/>
        <v>0</v>
      </c>
      <c r="U38" s="16">
        <v>24</v>
      </c>
    </row>
    <row r="39" spans="1:21" ht="20.100000000000001" customHeight="1" x14ac:dyDescent="0.25">
      <c r="A39" s="7">
        <f t="shared" si="0"/>
        <v>35</v>
      </c>
      <c r="B39" s="11" t="s">
        <v>68</v>
      </c>
      <c r="C39" s="13" t="s">
        <v>84</v>
      </c>
      <c r="D39" s="14" t="s">
        <v>18</v>
      </c>
      <c r="E39" s="29">
        <v>4100177</v>
      </c>
      <c r="F39" s="14">
        <v>5832</v>
      </c>
      <c r="G39" s="14">
        <v>5840</v>
      </c>
      <c r="H39" s="14">
        <f t="shared" si="1"/>
        <v>8</v>
      </c>
      <c r="I39" s="12"/>
      <c r="J39" s="14">
        <v>5840</v>
      </c>
      <c r="K39" s="14">
        <v>5844</v>
      </c>
      <c r="L39" s="14">
        <f t="shared" si="2"/>
        <v>4</v>
      </c>
      <c r="M39" s="12"/>
      <c r="N39" s="14">
        <v>5844</v>
      </c>
      <c r="O39" s="14">
        <v>5848</v>
      </c>
      <c r="P39" s="14">
        <f t="shared" si="5"/>
        <v>4</v>
      </c>
      <c r="Q39" s="12"/>
      <c r="R39" s="14">
        <v>5848</v>
      </c>
      <c r="S39" s="14">
        <v>5852</v>
      </c>
      <c r="T39" s="14">
        <f t="shared" si="6"/>
        <v>4</v>
      </c>
      <c r="U39" s="12"/>
    </row>
    <row r="40" spans="1:21" ht="20.100000000000001" customHeight="1" x14ac:dyDescent="0.25">
      <c r="A40" s="7">
        <f t="shared" si="0"/>
        <v>36</v>
      </c>
      <c r="B40" s="11" t="s">
        <v>12</v>
      </c>
      <c r="C40" s="13" t="s">
        <v>85</v>
      </c>
      <c r="D40" s="14" t="s">
        <v>18</v>
      </c>
      <c r="E40" s="29">
        <v>4100181</v>
      </c>
      <c r="F40" s="14">
        <v>281</v>
      </c>
      <c r="G40" s="14">
        <v>296</v>
      </c>
      <c r="H40" s="14">
        <f t="shared" si="1"/>
        <v>15</v>
      </c>
      <c r="I40" s="12"/>
      <c r="J40" s="14">
        <v>296</v>
      </c>
      <c r="K40" s="14">
        <v>296</v>
      </c>
      <c r="L40" s="14">
        <f t="shared" si="2"/>
        <v>0</v>
      </c>
      <c r="M40" s="12"/>
      <c r="N40" s="14">
        <v>296</v>
      </c>
      <c r="O40" s="14">
        <v>296</v>
      </c>
      <c r="P40" s="14">
        <f t="shared" si="5"/>
        <v>0</v>
      </c>
      <c r="Q40" s="12"/>
      <c r="R40" s="14">
        <v>296</v>
      </c>
      <c r="S40" s="14">
        <v>325</v>
      </c>
      <c r="T40" s="14">
        <f t="shared" si="6"/>
        <v>29</v>
      </c>
      <c r="U40" s="12"/>
    </row>
    <row r="41" spans="1:21" ht="20.100000000000001" customHeight="1" x14ac:dyDescent="0.25">
      <c r="A41" s="7">
        <f t="shared" si="0"/>
        <v>37</v>
      </c>
      <c r="B41" s="11" t="s">
        <v>15</v>
      </c>
      <c r="C41" s="13" t="s">
        <v>86</v>
      </c>
      <c r="D41" s="14" t="s">
        <v>18</v>
      </c>
      <c r="E41" s="34">
        <v>4100193</v>
      </c>
      <c r="F41" s="14">
        <v>1354</v>
      </c>
      <c r="G41" s="14">
        <v>1387</v>
      </c>
      <c r="H41" s="14">
        <f t="shared" si="1"/>
        <v>33</v>
      </c>
      <c r="I41" s="12"/>
      <c r="J41" s="14">
        <v>1387</v>
      </c>
      <c r="K41" s="14">
        <v>1397</v>
      </c>
      <c r="L41" s="14">
        <f t="shared" si="2"/>
        <v>10</v>
      </c>
      <c r="M41" s="12"/>
      <c r="N41" s="14">
        <v>1397</v>
      </c>
      <c r="O41" s="14">
        <v>1408</v>
      </c>
      <c r="P41" s="14">
        <f t="shared" si="5"/>
        <v>11</v>
      </c>
      <c r="Q41" s="12"/>
      <c r="R41" s="14">
        <v>1408</v>
      </c>
      <c r="S41" s="14">
        <v>1415</v>
      </c>
      <c r="T41" s="14">
        <f t="shared" si="6"/>
        <v>7</v>
      </c>
      <c r="U41" s="12"/>
    </row>
    <row r="42" spans="1:21" ht="20.100000000000001" customHeight="1" x14ac:dyDescent="0.25">
      <c r="A42" s="7">
        <f t="shared" si="0"/>
        <v>38</v>
      </c>
      <c r="B42" s="11" t="s">
        <v>12</v>
      </c>
      <c r="C42" s="13" t="s">
        <v>87</v>
      </c>
      <c r="D42" s="14" t="s">
        <v>18</v>
      </c>
      <c r="E42" s="29">
        <v>4100197</v>
      </c>
      <c r="F42" s="14">
        <v>1438</v>
      </c>
      <c r="G42" s="14">
        <v>1441</v>
      </c>
      <c r="H42" s="14">
        <f t="shared" si="1"/>
        <v>3</v>
      </c>
      <c r="I42" s="12"/>
      <c r="J42" s="14">
        <v>1441</v>
      </c>
      <c r="K42" s="14">
        <v>1441</v>
      </c>
      <c r="L42" s="14">
        <f t="shared" si="2"/>
        <v>0</v>
      </c>
      <c r="M42" s="12"/>
      <c r="N42" s="14">
        <v>1441</v>
      </c>
      <c r="O42" s="14">
        <v>1444</v>
      </c>
      <c r="P42" s="14">
        <f t="shared" si="5"/>
        <v>3</v>
      </c>
      <c r="Q42" s="12"/>
      <c r="R42" s="14">
        <v>1444</v>
      </c>
      <c r="S42" s="14">
        <v>1446</v>
      </c>
      <c r="T42" s="14">
        <f t="shared" si="6"/>
        <v>2</v>
      </c>
      <c r="U42" s="12"/>
    </row>
    <row r="43" spans="1:21" ht="20.100000000000001" customHeight="1" x14ac:dyDescent="0.25">
      <c r="A43" s="7">
        <f t="shared" si="0"/>
        <v>39</v>
      </c>
      <c r="B43" s="11" t="s">
        <v>15</v>
      </c>
      <c r="C43" s="13" t="s">
        <v>88</v>
      </c>
      <c r="D43" s="14" t="s">
        <v>18</v>
      </c>
      <c r="E43" s="29">
        <v>4100198</v>
      </c>
      <c r="F43" s="14">
        <v>2665</v>
      </c>
      <c r="G43" s="14">
        <v>2684</v>
      </c>
      <c r="H43" s="14">
        <f t="shared" si="1"/>
        <v>19</v>
      </c>
      <c r="I43" s="12"/>
      <c r="J43" s="14">
        <v>2684</v>
      </c>
      <c r="K43" s="14">
        <v>2698</v>
      </c>
      <c r="L43" s="14">
        <f t="shared" si="2"/>
        <v>14</v>
      </c>
      <c r="M43" s="12"/>
      <c r="N43" s="14">
        <v>2698</v>
      </c>
      <c r="O43" s="14">
        <v>2710</v>
      </c>
      <c r="P43" s="14">
        <f t="shared" si="5"/>
        <v>12</v>
      </c>
      <c r="Q43" s="12"/>
      <c r="R43" s="14">
        <v>2710</v>
      </c>
      <c r="S43" s="14">
        <v>2723</v>
      </c>
      <c r="T43" s="14">
        <f t="shared" si="6"/>
        <v>13</v>
      </c>
      <c r="U43" s="12"/>
    </row>
    <row r="44" spans="1:21" ht="20.100000000000001" customHeight="1" x14ac:dyDescent="0.25">
      <c r="A44" s="7">
        <f t="shared" si="0"/>
        <v>40</v>
      </c>
      <c r="B44" s="11" t="s">
        <v>65</v>
      </c>
      <c r="C44" s="15" t="s">
        <v>89</v>
      </c>
      <c r="D44" s="14" t="s">
        <v>18</v>
      </c>
      <c r="E44" s="29">
        <v>4100200</v>
      </c>
      <c r="F44" s="14">
        <v>97</v>
      </c>
      <c r="G44" s="14">
        <v>97</v>
      </c>
      <c r="H44" s="14">
        <f t="shared" si="1"/>
        <v>0</v>
      </c>
      <c r="I44" s="12"/>
      <c r="J44" s="14">
        <v>97</v>
      </c>
      <c r="K44" s="14">
        <v>97</v>
      </c>
      <c r="L44" s="14">
        <f t="shared" si="2"/>
        <v>0</v>
      </c>
      <c r="M44" s="12"/>
      <c r="N44" s="14">
        <v>97</v>
      </c>
      <c r="O44" s="14">
        <v>97</v>
      </c>
      <c r="P44" s="14">
        <f t="shared" si="5"/>
        <v>0</v>
      </c>
      <c r="Q44" s="12"/>
      <c r="R44" s="14">
        <v>97</v>
      </c>
      <c r="S44" s="14">
        <v>97</v>
      </c>
      <c r="T44" s="14">
        <f t="shared" si="6"/>
        <v>0</v>
      </c>
      <c r="U44" s="12"/>
    </row>
    <row r="45" spans="1:21" ht="20.100000000000001" customHeight="1" x14ac:dyDescent="0.25">
      <c r="A45" s="7">
        <f t="shared" si="0"/>
        <v>41</v>
      </c>
      <c r="B45" s="8" t="s">
        <v>90</v>
      </c>
      <c r="C45" s="9" t="s">
        <v>91</v>
      </c>
      <c r="D45" s="10" t="s">
        <v>18</v>
      </c>
      <c r="E45" s="30">
        <v>4100201</v>
      </c>
      <c r="F45" s="14">
        <v>14162</v>
      </c>
      <c r="G45" s="14">
        <v>14162</v>
      </c>
      <c r="H45" s="14">
        <f t="shared" si="1"/>
        <v>0</v>
      </c>
      <c r="I45" s="12"/>
      <c r="J45" s="14">
        <v>14162</v>
      </c>
      <c r="K45" s="14">
        <v>14162</v>
      </c>
      <c r="L45" s="14">
        <f t="shared" si="2"/>
        <v>0</v>
      </c>
      <c r="M45" s="12"/>
      <c r="N45" s="14">
        <v>14162</v>
      </c>
      <c r="O45" s="14">
        <v>14162</v>
      </c>
      <c r="P45" s="14">
        <f t="shared" si="5"/>
        <v>0</v>
      </c>
      <c r="Q45" s="12"/>
      <c r="R45" s="14">
        <v>14162</v>
      </c>
      <c r="S45" s="14">
        <v>14162</v>
      </c>
      <c r="T45" s="14">
        <f t="shared" si="6"/>
        <v>0</v>
      </c>
      <c r="U45" s="12"/>
    </row>
    <row r="46" spans="1:21" ht="20.100000000000001" customHeight="1" x14ac:dyDescent="0.25">
      <c r="A46" s="7">
        <f t="shared" si="0"/>
        <v>42</v>
      </c>
      <c r="B46" s="11" t="s">
        <v>15</v>
      </c>
      <c r="C46" s="13" t="s">
        <v>92</v>
      </c>
      <c r="D46" s="14" t="s">
        <v>18</v>
      </c>
      <c r="E46" s="31">
        <v>4100206</v>
      </c>
      <c r="F46" s="14">
        <v>2833</v>
      </c>
      <c r="G46" s="14">
        <v>2844</v>
      </c>
      <c r="H46" s="14">
        <f t="shared" si="1"/>
        <v>11</v>
      </c>
      <c r="I46" s="12"/>
      <c r="J46" s="14">
        <v>2844</v>
      </c>
      <c r="K46" s="14">
        <v>2851</v>
      </c>
      <c r="L46" s="14">
        <f t="shared" si="2"/>
        <v>7</v>
      </c>
      <c r="M46" s="12"/>
      <c r="N46" s="14">
        <v>2851</v>
      </c>
      <c r="O46" s="14">
        <v>2860</v>
      </c>
      <c r="P46" s="14">
        <f t="shared" si="5"/>
        <v>9</v>
      </c>
      <c r="Q46" s="12"/>
      <c r="R46" s="14">
        <v>2860</v>
      </c>
      <c r="S46" s="14">
        <v>2878</v>
      </c>
      <c r="T46" s="14">
        <f t="shared" si="6"/>
        <v>18</v>
      </c>
      <c r="U46" s="12"/>
    </row>
    <row r="47" spans="1:21" ht="20.100000000000001" customHeight="1" x14ac:dyDescent="0.25">
      <c r="A47" s="7">
        <f t="shared" si="0"/>
        <v>43</v>
      </c>
      <c r="B47" s="11" t="s">
        <v>15</v>
      </c>
      <c r="C47" s="13" t="s">
        <v>94</v>
      </c>
      <c r="D47" s="14" t="s">
        <v>18</v>
      </c>
      <c r="E47" s="29">
        <v>4100214</v>
      </c>
      <c r="F47" s="14">
        <v>4287</v>
      </c>
      <c r="G47" s="14">
        <v>4319</v>
      </c>
      <c r="H47" s="14">
        <f t="shared" si="1"/>
        <v>32</v>
      </c>
      <c r="I47" s="12"/>
      <c r="J47" s="14">
        <v>4319</v>
      </c>
      <c r="K47" s="14">
        <v>4328</v>
      </c>
      <c r="L47" s="14">
        <f t="shared" si="2"/>
        <v>9</v>
      </c>
      <c r="M47" s="12"/>
      <c r="N47" s="14">
        <v>4328</v>
      </c>
      <c r="O47" s="14">
        <v>4346</v>
      </c>
      <c r="P47" s="14">
        <f t="shared" si="5"/>
        <v>18</v>
      </c>
      <c r="Q47" s="12"/>
      <c r="R47" s="14">
        <v>4346</v>
      </c>
      <c r="S47" s="14">
        <v>4365</v>
      </c>
      <c r="T47" s="14">
        <f t="shared" si="6"/>
        <v>19</v>
      </c>
      <c r="U47" s="12"/>
    </row>
    <row r="48" spans="1:21" ht="20.100000000000001" customHeight="1" x14ac:dyDescent="0.25">
      <c r="A48" s="7">
        <f t="shared" si="0"/>
        <v>44</v>
      </c>
      <c r="B48" s="8" t="s">
        <v>15</v>
      </c>
      <c r="C48" s="15" t="s">
        <v>95</v>
      </c>
      <c r="D48" s="14" t="s">
        <v>18</v>
      </c>
      <c r="E48" s="29">
        <v>4100215</v>
      </c>
      <c r="F48" s="14">
        <v>851</v>
      </c>
      <c r="G48" s="14">
        <v>868</v>
      </c>
      <c r="H48" s="14">
        <f t="shared" si="1"/>
        <v>17</v>
      </c>
      <c r="I48" s="12"/>
      <c r="J48" s="14">
        <v>868</v>
      </c>
      <c r="K48" s="14">
        <v>876</v>
      </c>
      <c r="L48" s="14">
        <f t="shared" si="2"/>
        <v>8</v>
      </c>
      <c r="M48" s="12"/>
      <c r="N48" s="14">
        <v>876</v>
      </c>
      <c r="O48" s="14">
        <v>887</v>
      </c>
      <c r="P48" s="14">
        <f t="shared" si="5"/>
        <v>11</v>
      </c>
      <c r="Q48" s="12"/>
      <c r="R48" s="14">
        <v>887</v>
      </c>
      <c r="S48" s="14">
        <v>900</v>
      </c>
      <c r="T48" s="14">
        <f t="shared" si="6"/>
        <v>13</v>
      </c>
      <c r="U48" s="12"/>
    </row>
    <row r="49" spans="1:21" ht="20.100000000000001" hidden="1" customHeight="1" x14ac:dyDescent="0.25">
      <c r="A49" s="7">
        <f t="shared" si="0"/>
        <v>45</v>
      </c>
      <c r="B49" s="11" t="s">
        <v>15</v>
      </c>
      <c r="C49" s="13" t="s">
        <v>96</v>
      </c>
      <c r="D49" s="14" t="s">
        <v>18</v>
      </c>
      <c r="E49" s="13" t="s">
        <v>97</v>
      </c>
      <c r="F49" s="14">
        <v>516</v>
      </c>
      <c r="G49" s="14">
        <v>516</v>
      </c>
      <c r="H49" s="14">
        <f t="shared" si="1"/>
        <v>0</v>
      </c>
      <c r="I49" s="16">
        <v>24</v>
      </c>
      <c r="J49" s="14">
        <v>516</v>
      </c>
      <c r="K49" s="14">
        <v>516</v>
      </c>
      <c r="L49" s="14">
        <f t="shared" si="2"/>
        <v>0</v>
      </c>
      <c r="M49" s="16">
        <v>24</v>
      </c>
      <c r="N49" s="14">
        <v>516</v>
      </c>
      <c r="O49" s="14">
        <v>516</v>
      </c>
      <c r="P49" s="14">
        <f t="shared" si="5"/>
        <v>0</v>
      </c>
      <c r="Q49" s="16">
        <v>24</v>
      </c>
      <c r="R49" s="14">
        <v>516</v>
      </c>
      <c r="S49" s="14">
        <v>516</v>
      </c>
      <c r="T49" s="14">
        <f t="shared" si="6"/>
        <v>0</v>
      </c>
      <c r="U49" s="16">
        <v>24</v>
      </c>
    </row>
    <row r="50" spans="1:21" ht="20.100000000000001" customHeight="1" x14ac:dyDescent="0.25">
      <c r="A50" s="7">
        <f t="shared" si="0"/>
        <v>46</v>
      </c>
      <c r="B50" s="32" t="s">
        <v>15</v>
      </c>
      <c r="C50" s="13" t="s">
        <v>98</v>
      </c>
      <c r="D50" s="14" t="s">
        <v>18</v>
      </c>
      <c r="E50" s="35" t="s">
        <v>99</v>
      </c>
      <c r="F50" s="14">
        <v>2645</v>
      </c>
      <c r="G50" s="14">
        <v>2916</v>
      </c>
      <c r="H50" s="14">
        <f t="shared" si="1"/>
        <v>271</v>
      </c>
      <c r="I50" s="12"/>
      <c r="J50" s="14">
        <v>2916</v>
      </c>
      <c r="K50" s="14">
        <v>2916</v>
      </c>
      <c r="L50" s="14">
        <f t="shared" si="2"/>
        <v>0</v>
      </c>
      <c r="M50" s="12"/>
      <c r="N50" s="14">
        <v>2916</v>
      </c>
      <c r="O50" s="14">
        <v>2916</v>
      </c>
      <c r="P50" s="14">
        <f t="shared" si="5"/>
        <v>0</v>
      </c>
      <c r="Q50" s="12"/>
      <c r="R50" s="14">
        <v>2981</v>
      </c>
      <c r="S50" s="14">
        <v>2981</v>
      </c>
      <c r="T50" s="14">
        <f t="shared" si="6"/>
        <v>0</v>
      </c>
      <c r="U50" s="12"/>
    </row>
    <row r="51" spans="1:21" ht="20.100000000000001" hidden="1" customHeight="1" x14ac:dyDescent="0.25">
      <c r="A51" s="7">
        <f t="shared" si="0"/>
        <v>47</v>
      </c>
      <c r="B51" s="11" t="s">
        <v>12</v>
      </c>
      <c r="C51" s="13" t="s">
        <v>100</v>
      </c>
      <c r="D51" s="14" t="s">
        <v>18</v>
      </c>
      <c r="E51" s="13" t="s">
        <v>101</v>
      </c>
      <c r="F51" s="14">
        <v>16371</v>
      </c>
      <c r="G51" s="14">
        <v>16371</v>
      </c>
      <c r="H51" s="14">
        <f t="shared" si="1"/>
        <v>0</v>
      </c>
      <c r="I51" s="16">
        <v>24</v>
      </c>
      <c r="J51" s="14">
        <v>16371</v>
      </c>
      <c r="K51" s="14">
        <v>16371</v>
      </c>
      <c r="L51" s="14">
        <f t="shared" si="2"/>
        <v>0</v>
      </c>
      <c r="M51" s="16">
        <v>24</v>
      </c>
      <c r="N51" s="14">
        <v>16371</v>
      </c>
      <c r="O51" s="14">
        <v>16371</v>
      </c>
      <c r="P51" s="14">
        <f t="shared" si="5"/>
        <v>0</v>
      </c>
      <c r="Q51" s="16">
        <v>24</v>
      </c>
      <c r="R51" s="14">
        <v>16371</v>
      </c>
      <c r="S51" s="14">
        <v>16371</v>
      </c>
      <c r="T51" s="14">
        <f t="shared" si="6"/>
        <v>0</v>
      </c>
      <c r="U51" s="16">
        <v>24</v>
      </c>
    </row>
    <row r="52" spans="1:21" ht="20.100000000000001" customHeight="1" x14ac:dyDescent="0.25">
      <c r="A52" s="7">
        <f t="shared" si="0"/>
        <v>48</v>
      </c>
      <c r="B52" s="11" t="s">
        <v>102</v>
      </c>
      <c r="C52" s="13" t="s">
        <v>103</v>
      </c>
      <c r="D52" s="14" t="s">
        <v>18</v>
      </c>
      <c r="E52" s="13" t="s">
        <v>104</v>
      </c>
      <c r="F52" s="14">
        <v>10164</v>
      </c>
      <c r="G52" s="14">
        <v>10204</v>
      </c>
      <c r="H52" s="14">
        <f t="shared" si="1"/>
        <v>40</v>
      </c>
      <c r="I52" s="12"/>
      <c r="J52" s="14">
        <v>10204</v>
      </c>
      <c r="K52" s="14">
        <v>10218</v>
      </c>
      <c r="L52" s="14">
        <f t="shared" si="2"/>
        <v>14</v>
      </c>
      <c r="M52" s="12"/>
      <c r="N52" s="14">
        <v>10218</v>
      </c>
      <c r="O52" s="14">
        <v>10245</v>
      </c>
      <c r="P52" s="14">
        <f t="shared" si="5"/>
        <v>27</v>
      </c>
      <c r="Q52" s="12"/>
      <c r="R52" s="14">
        <v>10245</v>
      </c>
      <c r="S52" s="14">
        <v>10270</v>
      </c>
      <c r="T52" s="14">
        <f t="shared" si="6"/>
        <v>25</v>
      </c>
      <c r="U52" s="12"/>
    </row>
    <row r="53" spans="1:21" ht="20.100000000000001" customHeight="1" x14ac:dyDescent="0.25">
      <c r="A53" s="7">
        <f t="shared" si="0"/>
        <v>49</v>
      </c>
      <c r="B53" s="11" t="s">
        <v>15</v>
      </c>
      <c r="C53" s="13" t="s">
        <v>105</v>
      </c>
      <c r="D53" s="14" t="s">
        <v>18</v>
      </c>
      <c r="E53" s="13" t="s">
        <v>106</v>
      </c>
      <c r="F53" s="14">
        <v>9825</v>
      </c>
      <c r="G53" s="14">
        <v>9836</v>
      </c>
      <c r="H53" s="14">
        <f t="shared" si="1"/>
        <v>11</v>
      </c>
      <c r="I53" s="12"/>
      <c r="J53" s="14">
        <v>9836</v>
      </c>
      <c r="K53" s="14">
        <v>9838</v>
      </c>
      <c r="L53" s="14">
        <f t="shared" si="2"/>
        <v>2</v>
      </c>
      <c r="M53" s="12"/>
      <c r="N53" s="14">
        <v>9838</v>
      </c>
      <c r="O53" s="14">
        <v>9849</v>
      </c>
      <c r="P53" s="14">
        <f t="shared" si="5"/>
        <v>11</v>
      </c>
      <c r="Q53" s="12"/>
      <c r="R53" s="14">
        <v>9849</v>
      </c>
      <c r="S53" s="14">
        <v>9857</v>
      </c>
      <c r="T53" s="14">
        <f t="shared" si="6"/>
        <v>8</v>
      </c>
      <c r="U53" s="12"/>
    </row>
    <row r="54" spans="1:21" ht="20.100000000000001" customHeight="1" x14ac:dyDescent="0.25">
      <c r="A54" s="7">
        <f t="shared" si="0"/>
        <v>50</v>
      </c>
      <c r="B54" s="11" t="s">
        <v>107</v>
      </c>
      <c r="C54" s="13" t="s">
        <v>108</v>
      </c>
      <c r="D54" s="14" t="s">
        <v>18</v>
      </c>
      <c r="E54" s="13" t="s">
        <v>109</v>
      </c>
      <c r="F54" s="14">
        <v>5490</v>
      </c>
      <c r="G54" s="14">
        <v>5504</v>
      </c>
      <c r="H54" s="14">
        <f t="shared" si="1"/>
        <v>14</v>
      </c>
      <c r="I54" s="12"/>
      <c r="J54" s="14">
        <v>5504</v>
      </c>
      <c r="K54" s="14">
        <v>5507</v>
      </c>
      <c r="L54" s="14">
        <f t="shared" si="2"/>
        <v>3</v>
      </c>
      <c r="M54" s="12"/>
      <c r="N54" s="14">
        <v>5507</v>
      </c>
      <c r="O54" s="14">
        <v>5511</v>
      </c>
      <c r="P54" s="14">
        <f t="shared" si="5"/>
        <v>4</v>
      </c>
      <c r="Q54" s="12"/>
      <c r="R54" s="14">
        <v>5511</v>
      </c>
      <c r="S54" s="14">
        <v>5520</v>
      </c>
      <c r="T54" s="14">
        <f t="shared" si="6"/>
        <v>9</v>
      </c>
      <c r="U54" s="12"/>
    </row>
    <row r="55" spans="1:21" ht="20.100000000000001" customHeight="1" x14ac:dyDescent="0.25">
      <c r="A55" s="7">
        <f t="shared" si="0"/>
        <v>51</v>
      </c>
      <c r="B55" s="11" t="s">
        <v>107</v>
      </c>
      <c r="C55" s="13" t="s">
        <v>110</v>
      </c>
      <c r="D55" s="14" t="s">
        <v>18</v>
      </c>
      <c r="E55" s="13" t="s">
        <v>111</v>
      </c>
      <c r="F55" s="14">
        <v>14538</v>
      </c>
      <c r="G55" s="14">
        <v>14561</v>
      </c>
      <c r="H55" s="14">
        <f t="shared" si="1"/>
        <v>23</v>
      </c>
      <c r="I55" s="12"/>
      <c r="J55" s="14">
        <v>14561</v>
      </c>
      <c r="K55" s="14">
        <v>14573</v>
      </c>
      <c r="L55" s="14">
        <f t="shared" si="2"/>
        <v>12</v>
      </c>
      <c r="M55" s="12"/>
      <c r="N55" s="14">
        <v>14573</v>
      </c>
      <c r="O55" s="14">
        <v>14595</v>
      </c>
      <c r="P55" s="14">
        <f t="shared" si="5"/>
        <v>22</v>
      </c>
      <c r="Q55" s="12"/>
      <c r="R55" s="14">
        <v>14595</v>
      </c>
      <c r="S55" s="14">
        <v>14611</v>
      </c>
      <c r="T55" s="14">
        <f t="shared" si="6"/>
        <v>16</v>
      </c>
      <c r="U55" s="12"/>
    </row>
    <row r="56" spans="1:21" ht="20.100000000000001" customHeight="1" x14ac:dyDescent="0.25">
      <c r="A56" s="7">
        <f t="shared" si="0"/>
        <v>52</v>
      </c>
      <c r="B56" s="11" t="s">
        <v>48</v>
      </c>
      <c r="C56" s="13" t="s">
        <v>112</v>
      </c>
      <c r="D56" s="14" t="s">
        <v>18</v>
      </c>
      <c r="E56" s="13" t="s">
        <v>113</v>
      </c>
      <c r="F56" s="14">
        <v>6505</v>
      </c>
      <c r="G56" s="14">
        <v>6516</v>
      </c>
      <c r="H56" s="14">
        <f t="shared" si="1"/>
        <v>11</v>
      </c>
      <c r="I56" s="12"/>
      <c r="J56" s="14">
        <v>6516</v>
      </c>
      <c r="K56" s="14">
        <v>6520</v>
      </c>
      <c r="L56" s="14">
        <f t="shared" si="2"/>
        <v>4</v>
      </c>
      <c r="M56" s="12"/>
      <c r="N56" s="14">
        <v>6520</v>
      </c>
      <c r="O56" s="14">
        <v>6524</v>
      </c>
      <c r="P56" s="14">
        <f t="shared" si="5"/>
        <v>4</v>
      </c>
      <c r="Q56" s="12"/>
      <c r="R56" s="14">
        <v>6524</v>
      </c>
      <c r="S56" s="14">
        <v>6525</v>
      </c>
      <c r="T56" s="14">
        <f t="shared" si="6"/>
        <v>1</v>
      </c>
      <c r="U56" s="12"/>
    </row>
    <row r="57" spans="1:21" ht="20.100000000000001" customHeight="1" x14ac:dyDescent="0.25">
      <c r="A57" s="7">
        <f t="shared" si="0"/>
        <v>53</v>
      </c>
      <c r="B57" s="11" t="s">
        <v>15</v>
      </c>
      <c r="C57" s="13" t="s">
        <v>114</v>
      </c>
      <c r="D57" s="14" t="s">
        <v>18</v>
      </c>
      <c r="E57" s="13" t="s">
        <v>115</v>
      </c>
      <c r="F57" s="14">
        <v>665</v>
      </c>
      <c r="G57" s="14">
        <v>695</v>
      </c>
      <c r="H57" s="14">
        <f t="shared" si="1"/>
        <v>30</v>
      </c>
      <c r="I57" s="12"/>
      <c r="J57" s="14">
        <v>695</v>
      </c>
      <c r="K57" s="14">
        <v>695</v>
      </c>
      <c r="L57" s="14">
        <f t="shared" si="2"/>
        <v>0</v>
      </c>
      <c r="M57" s="12"/>
      <c r="N57" s="14">
        <v>695</v>
      </c>
      <c r="O57" s="14">
        <v>696</v>
      </c>
      <c r="P57" s="14">
        <f t="shared" si="5"/>
        <v>1</v>
      </c>
      <c r="Q57" s="12"/>
      <c r="R57" s="14">
        <v>696</v>
      </c>
      <c r="S57" s="14">
        <v>714</v>
      </c>
      <c r="T57" s="14">
        <f t="shared" si="6"/>
        <v>18</v>
      </c>
      <c r="U57" s="12"/>
    </row>
    <row r="58" spans="1:21" ht="20.100000000000001" customHeight="1" x14ac:dyDescent="0.25">
      <c r="A58" s="7">
        <f t="shared" si="0"/>
        <v>54</v>
      </c>
      <c r="B58" s="11" t="s">
        <v>12</v>
      </c>
      <c r="C58" s="13" t="s">
        <v>116</v>
      </c>
      <c r="D58" s="14" t="s">
        <v>18</v>
      </c>
      <c r="E58" s="13" t="s">
        <v>117</v>
      </c>
      <c r="F58" s="14">
        <v>54</v>
      </c>
      <c r="G58" s="14">
        <v>78</v>
      </c>
      <c r="H58" s="14">
        <f t="shared" si="1"/>
        <v>24</v>
      </c>
      <c r="I58" s="12"/>
      <c r="J58" s="14">
        <v>78</v>
      </c>
      <c r="K58" s="14">
        <v>92</v>
      </c>
      <c r="L58" s="14">
        <f t="shared" si="2"/>
        <v>14</v>
      </c>
      <c r="M58" s="12"/>
      <c r="N58" s="14">
        <v>92</v>
      </c>
      <c r="O58" s="14">
        <v>101</v>
      </c>
      <c r="P58" s="14">
        <f t="shared" si="5"/>
        <v>9</v>
      </c>
      <c r="Q58" s="12"/>
      <c r="R58" s="14">
        <v>101</v>
      </c>
      <c r="S58" s="14">
        <v>115</v>
      </c>
      <c r="T58" s="14">
        <f t="shared" si="6"/>
        <v>14</v>
      </c>
      <c r="U58" s="12"/>
    </row>
    <row r="59" spans="1:21" ht="20.100000000000001" customHeight="1" x14ac:dyDescent="0.25">
      <c r="A59" s="7">
        <f t="shared" si="0"/>
        <v>55</v>
      </c>
      <c r="B59" s="11" t="s">
        <v>12</v>
      </c>
      <c r="C59" s="13" t="s">
        <v>118</v>
      </c>
      <c r="D59" s="14" t="s">
        <v>18</v>
      </c>
      <c r="E59" s="13" t="s">
        <v>119</v>
      </c>
      <c r="F59" s="14">
        <v>14607</v>
      </c>
      <c r="G59" s="14">
        <v>14607</v>
      </c>
      <c r="H59" s="14">
        <f t="shared" si="1"/>
        <v>0</v>
      </c>
      <c r="I59" s="12"/>
      <c r="J59" s="14">
        <v>14607</v>
      </c>
      <c r="K59" s="14">
        <v>14607</v>
      </c>
      <c r="L59" s="14">
        <f t="shared" si="2"/>
        <v>0</v>
      </c>
      <c r="M59" s="12"/>
      <c r="N59" s="14">
        <v>14607</v>
      </c>
      <c r="O59" s="14">
        <v>14607</v>
      </c>
      <c r="P59" s="14">
        <f t="shared" si="5"/>
        <v>0</v>
      </c>
      <c r="Q59" s="12"/>
      <c r="R59" s="14">
        <v>14607</v>
      </c>
      <c r="S59" s="14">
        <v>14607</v>
      </c>
      <c r="T59" s="14">
        <f t="shared" si="6"/>
        <v>0</v>
      </c>
      <c r="U59" s="12"/>
    </row>
    <row r="60" spans="1:21" ht="20.100000000000001" customHeight="1" x14ac:dyDescent="0.25">
      <c r="A60" s="7">
        <f t="shared" si="0"/>
        <v>56</v>
      </c>
      <c r="B60" s="11" t="s">
        <v>15</v>
      </c>
      <c r="C60" s="13" t="s">
        <v>120</v>
      </c>
      <c r="D60" s="14" t="s">
        <v>18</v>
      </c>
      <c r="E60" s="35" t="s">
        <v>121</v>
      </c>
      <c r="F60" s="14">
        <v>14358</v>
      </c>
      <c r="G60" s="14">
        <v>14770</v>
      </c>
      <c r="H60" s="14">
        <f t="shared" si="1"/>
        <v>412</v>
      </c>
      <c r="I60" s="28"/>
      <c r="J60" s="14">
        <v>14770</v>
      </c>
      <c r="K60" s="14">
        <v>14770</v>
      </c>
      <c r="L60" s="14">
        <f t="shared" si="2"/>
        <v>0</v>
      </c>
      <c r="M60" s="28"/>
      <c r="N60" s="14">
        <v>14770</v>
      </c>
      <c r="O60" s="14">
        <v>14770</v>
      </c>
      <c r="P60" s="14">
        <f t="shared" si="5"/>
        <v>0</v>
      </c>
      <c r="Q60" s="28"/>
      <c r="R60" s="14">
        <v>14810</v>
      </c>
      <c r="S60" s="14">
        <v>14810</v>
      </c>
      <c r="T60" s="14">
        <f t="shared" si="6"/>
        <v>0</v>
      </c>
      <c r="U60" s="28"/>
    </row>
    <row r="61" spans="1:21" ht="20.100000000000001" customHeight="1" x14ac:dyDescent="0.25">
      <c r="A61" s="7">
        <f t="shared" si="0"/>
        <v>57</v>
      </c>
      <c r="B61" s="11" t="s">
        <v>15</v>
      </c>
      <c r="C61" s="13" t="s">
        <v>122</v>
      </c>
      <c r="D61" s="14" t="s">
        <v>18</v>
      </c>
      <c r="E61" s="13" t="s">
        <v>123</v>
      </c>
      <c r="F61" s="14">
        <v>277</v>
      </c>
      <c r="G61" s="14">
        <v>294</v>
      </c>
      <c r="H61" s="14">
        <f t="shared" si="1"/>
        <v>17</v>
      </c>
      <c r="I61" s="12"/>
      <c r="J61" s="14">
        <v>294</v>
      </c>
      <c r="K61" s="14">
        <v>294</v>
      </c>
      <c r="L61" s="14">
        <f t="shared" si="2"/>
        <v>0</v>
      </c>
      <c r="M61" s="12"/>
      <c r="N61" s="14">
        <v>294</v>
      </c>
      <c r="O61" s="14">
        <v>294</v>
      </c>
      <c r="P61" s="14">
        <f t="shared" si="5"/>
        <v>0</v>
      </c>
      <c r="Q61" s="12"/>
      <c r="R61" s="14">
        <v>294</v>
      </c>
      <c r="S61" s="14">
        <v>305</v>
      </c>
      <c r="T61" s="14">
        <f t="shared" si="6"/>
        <v>11</v>
      </c>
      <c r="U61" s="12"/>
    </row>
    <row r="62" spans="1:21" ht="20.100000000000001" customHeight="1" x14ac:dyDescent="0.25">
      <c r="A62" s="7">
        <f t="shared" si="0"/>
        <v>58</v>
      </c>
      <c r="B62" s="11" t="s">
        <v>124</v>
      </c>
      <c r="C62" s="13" t="s">
        <v>125</v>
      </c>
      <c r="D62" s="14" t="s">
        <v>18</v>
      </c>
      <c r="E62" s="13" t="s">
        <v>126</v>
      </c>
      <c r="F62" s="14">
        <v>0</v>
      </c>
      <c r="G62" s="14">
        <v>3</v>
      </c>
      <c r="H62" s="14">
        <f t="shared" si="1"/>
        <v>3</v>
      </c>
      <c r="I62" s="33"/>
      <c r="J62" s="14">
        <v>3</v>
      </c>
      <c r="K62" s="14">
        <v>11</v>
      </c>
      <c r="L62" s="14">
        <f t="shared" si="2"/>
        <v>8</v>
      </c>
      <c r="M62" s="33"/>
      <c r="N62" s="14">
        <v>11</v>
      </c>
      <c r="O62" s="14">
        <v>21</v>
      </c>
      <c r="P62" s="14">
        <f t="shared" si="5"/>
        <v>10</v>
      </c>
      <c r="Q62" s="33"/>
      <c r="R62" s="14">
        <v>21</v>
      </c>
      <c r="S62" s="14">
        <v>40</v>
      </c>
      <c r="T62" s="14">
        <f t="shared" si="6"/>
        <v>19</v>
      </c>
      <c r="U62" s="33"/>
    </row>
    <row r="63" spans="1:21" ht="20.100000000000001" customHeight="1" x14ac:dyDescent="0.25">
      <c r="A63" s="7">
        <f t="shared" si="0"/>
        <v>59</v>
      </c>
      <c r="B63" s="20" t="s">
        <v>93</v>
      </c>
      <c r="C63" s="13" t="s">
        <v>127</v>
      </c>
      <c r="D63" s="14" t="s">
        <v>18</v>
      </c>
      <c r="E63" s="13" t="s">
        <v>128</v>
      </c>
      <c r="F63" s="14">
        <v>6051</v>
      </c>
      <c r="G63" s="14">
        <v>6075</v>
      </c>
      <c r="H63" s="14">
        <f t="shared" si="1"/>
        <v>24</v>
      </c>
      <c r="I63" s="12"/>
      <c r="J63" s="14">
        <v>6075</v>
      </c>
      <c r="K63" s="14">
        <v>6088</v>
      </c>
      <c r="L63" s="14">
        <f t="shared" si="2"/>
        <v>13</v>
      </c>
      <c r="M63" s="12"/>
      <c r="N63" s="14">
        <v>6088</v>
      </c>
      <c r="O63" s="14">
        <v>6101</v>
      </c>
      <c r="P63" s="14">
        <f t="shared" si="5"/>
        <v>13</v>
      </c>
      <c r="Q63" s="12"/>
      <c r="R63" s="14">
        <v>6101</v>
      </c>
      <c r="S63" s="14">
        <v>6114</v>
      </c>
      <c r="T63" s="14">
        <f t="shared" si="6"/>
        <v>13</v>
      </c>
      <c r="U63" s="12"/>
    </row>
    <row r="64" spans="1:21" ht="20.100000000000001" customHeight="1" x14ac:dyDescent="0.25">
      <c r="A64" s="7">
        <f t="shared" si="0"/>
        <v>60</v>
      </c>
      <c r="B64" s="11" t="s">
        <v>93</v>
      </c>
      <c r="C64" s="13" t="s">
        <v>129</v>
      </c>
      <c r="D64" s="14" t="s">
        <v>18</v>
      </c>
      <c r="E64" s="13" t="s">
        <v>130</v>
      </c>
      <c r="F64" s="14">
        <v>4376</v>
      </c>
      <c r="G64" s="14">
        <v>4398</v>
      </c>
      <c r="H64" s="14">
        <f t="shared" si="1"/>
        <v>22</v>
      </c>
      <c r="I64" s="12"/>
      <c r="J64" s="14">
        <v>4398</v>
      </c>
      <c r="K64" s="14">
        <v>4411</v>
      </c>
      <c r="L64" s="14">
        <f t="shared" si="2"/>
        <v>13</v>
      </c>
      <c r="M64" s="12"/>
      <c r="N64" s="14">
        <v>4411</v>
      </c>
      <c r="O64" s="14">
        <v>4424</v>
      </c>
      <c r="P64" s="14">
        <f t="shared" si="5"/>
        <v>13</v>
      </c>
      <c r="Q64" s="12"/>
      <c r="R64" s="14">
        <v>4424</v>
      </c>
      <c r="S64" s="14">
        <v>4434</v>
      </c>
      <c r="T64" s="14">
        <f t="shared" si="6"/>
        <v>10</v>
      </c>
      <c r="U64" s="12"/>
    </row>
    <row r="65" spans="1:21" ht="20.100000000000001" customHeight="1" x14ac:dyDescent="0.25">
      <c r="A65" s="7">
        <f t="shared" si="0"/>
        <v>61</v>
      </c>
      <c r="B65" s="11" t="s">
        <v>90</v>
      </c>
      <c r="C65" s="13" t="s">
        <v>131</v>
      </c>
      <c r="D65" s="14" t="s">
        <v>18</v>
      </c>
      <c r="E65" s="13" t="s">
        <v>132</v>
      </c>
      <c r="F65" s="14">
        <v>642</v>
      </c>
      <c r="G65" s="14">
        <v>647</v>
      </c>
      <c r="H65" s="14">
        <f t="shared" si="1"/>
        <v>5</v>
      </c>
      <c r="I65" s="12"/>
      <c r="J65" s="14">
        <v>647</v>
      </c>
      <c r="K65" s="14">
        <v>647</v>
      </c>
      <c r="L65" s="14">
        <f t="shared" si="2"/>
        <v>0</v>
      </c>
      <c r="M65" s="12"/>
      <c r="N65" s="14">
        <v>647</v>
      </c>
      <c r="O65" s="14">
        <v>647</v>
      </c>
      <c r="P65" s="14">
        <f t="shared" si="5"/>
        <v>0</v>
      </c>
      <c r="Q65" s="12"/>
      <c r="R65" s="14">
        <v>647</v>
      </c>
      <c r="S65" s="14">
        <v>647</v>
      </c>
      <c r="T65" s="14">
        <f t="shared" si="6"/>
        <v>0</v>
      </c>
      <c r="U65" s="12"/>
    </row>
    <row r="66" spans="1:21" ht="20.100000000000001" customHeight="1" x14ac:dyDescent="0.25">
      <c r="A66" s="7">
        <f t="shared" si="0"/>
        <v>62</v>
      </c>
      <c r="B66" s="11" t="s">
        <v>133</v>
      </c>
      <c r="C66" s="13" t="s">
        <v>134</v>
      </c>
      <c r="D66" s="14" t="s">
        <v>18</v>
      </c>
      <c r="E66" s="13" t="s">
        <v>135</v>
      </c>
      <c r="F66" s="14">
        <v>14062</v>
      </c>
      <c r="G66" s="14">
        <v>14086</v>
      </c>
      <c r="H66" s="14">
        <f t="shared" si="1"/>
        <v>24</v>
      </c>
      <c r="I66" s="12"/>
      <c r="J66" s="14">
        <v>14086</v>
      </c>
      <c r="K66" s="14">
        <v>14096</v>
      </c>
      <c r="L66" s="14">
        <f t="shared" si="2"/>
        <v>10</v>
      </c>
      <c r="M66" s="12"/>
      <c r="N66" s="14">
        <v>14096</v>
      </c>
      <c r="O66" s="14">
        <v>14107</v>
      </c>
      <c r="P66" s="14">
        <f t="shared" si="5"/>
        <v>11</v>
      </c>
      <c r="Q66" s="12"/>
      <c r="R66" s="14">
        <v>14107</v>
      </c>
      <c r="S66" s="14">
        <v>14109</v>
      </c>
      <c r="T66" s="14">
        <f t="shared" si="6"/>
        <v>2</v>
      </c>
      <c r="U66" s="12"/>
    </row>
    <row r="67" spans="1:21" ht="20.100000000000001" customHeight="1" x14ac:dyDescent="0.25">
      <c r="A67" s="7">
        <f t="shared" ref="A67:A124" si="7">A66+1</f>
        <v>63</v>
      </c>
      <c r="B67" s="11" t="s">
        <v>12</v>
      </c>
      <c r="C67" s="13" t="s">
        <v>136</v>
      </c>
      <c r="D67" s="14" t="s">
        <v>18</v>
      </c>
      <c r="E67" s="13" t="s">
        <v>137</v>
      </c>
      <c r="F67" s="14">
        <v>697</v>
      </c>
      <c r="G67" s="14">
        <v>711</v>
      </c>
      <c r="H67" s="14">
        <f t="shared" si="1"/>
        <v>14</v>
      </c>
      <c r="I67" s="12"/>
      <c r="J67" s="14">
        <v>711</v>
      </c>
      <c r="K67" s="14">
        <v>721</v>
      </c>
      <c r="L67" s="14">
        <f t="shared" si="2"/>
        <v>10</v>
      </c>
      <c r="M67" s="12"/>
      <c r="N67" s="14">
        <v>721</v>
      </c>
      <c r="O67" s="14">
        <v>727</v>
      </c>
      <c r="P67" s="14">
        <f t="shared" si="5"/>
        <v>6</v>
      </c>
      <c r="Q67" s="12"/>
      <c r="R67" s="14">
        <v>727</v>
      </c>
      <c r="S67" s="14">
        <v>734</v>
      </c>
      <c r="T67" s="14">
        <f t="shared" si="6"/>
        <v>7</v>
      </c>
      <c r="U67" s="12"/>
    </row>
    <row r="68" spans="1:21" ht="20.100000000000001" customHeight="1" x14ac:dyDescent="0.25">
      <c r="A68" s="7">
        <f t="shared" si="7"/>
        <v>64</v>
      </c>
      <c r="B68" s="11" t="s">
        <v>15</v>
      </c>
      <c r="C68" s="13" t="s">
        <v>138</v>
      </c>
      <c r="D68" s="14" t="s">
        <v>18</v>
      </c>
      <c r="E68" s="13" t="s">
        <v>139</v>
      </c>
      <c r="F68" s="14">
        <v>631</v>
      </c>
      <c r="G68" s="14">
        <v>669</v>
      </c>
      <c r="H68" s="14">
        <f t="shared" si="1"/>
        <v>38</v>
      </c>
      <c r="I68" s="12"/>
      <c r="J68" s="14">
        <v>669</v>
      </c>
      <c r="K68" s="14">
        <v>684</v>
      </c>
      <c r="L68" s="14">
        <f t="shared" si="2"/>
        <v>15</v>
      </c>
      <c r="M68" s="12"/>
      <c r="N68" s="14">
        <v>684</v>
      </c>
      <c r="O68" s="14">
        <v>698</v>
      </c>
      <c r="P68" s="14">
        <f t="shared" si="5"/>
        <v>14</v>
      </c>
      <c r="Q68" s="12"/>
      <c r="R68" s="14">
        <v>698</v>
      </c>
      <c r="S68" s="14">
        <v>713</v>
      </c>
      <c r="T68" s="14">
        <f t="shared" si="6"/>
        <v>15</v>
      </c>
      <c r="U68" s="12"/>
    </row>
    <row r="69" spans="1:21" ht="20.100000000000001" customHeight="1" x14ac:dyDescent="0.25">
      <c r="A69" s="7">
        <f t="shared" si="7"/>
        <v>65</v>
      </c>
      <c r="B69" s="11" t="s">
        <v>15</v>
      </c>
      <c r="C69" s="13" t="s">
        <v>140</v>
      </c>
      <c r="D69" s="14" t="s">
        <v>18</v>
      </c>
      <c r="E69" s="13" t="s">
        <v>141</v>
      </c>
      <c r="F69" s="14">
        <v>16529</v>
      </c>
      <c r="G69" s="14">
        <v>16551</v>
      </c>
      <c r="H69" s="14">
        <f t="shared" si="1"/>
        <v>22</v>
      </c>
      <c r="I69" s="12"/>
      <c r="J69" s="14">
        <v>16551</v>
      </c>
      <c r="K69" s="14">
        <v>16562</v>
      </c>
      <c r="L69" s="14">
        <f t="shared" si="2"/>
        <v>11</v>
      </c>
      <c r="M69" s="12"/>
      <c r="N69" s="14">
        <v>16562</v>
      </c>
      <c r="O69" s="14">
        <v>16573</v>
      </c>
      <c r="P69" s="14">
        <f t="shared" si="5"/>
        <v>11</v>
      </c>
      <c r="Q69" s="12"/>
      <c r="R69" s="14">
        <v>16573</v>
      </c>
      <c r="S69" s="14">
        <v>16586</v>
      </c>
      <c r="T69" s="14">
        <f t="shared" si="6"/>
        <v>13</v>
      </c>
      <c r="U69" s="12"/>
    </row>
    <row r="70" spans="1:21" ht="20.100000000000001" customHeight="1" x14ac:dyDescent="0.25">
      <c r="A70" s="7">
        <f t="shared" si="7"/>
        <v>66</v>
      </c>
      <c r="B70" s="11" t="s">
        <v>93</v>
      </c>
      <c r="C70" s="13" t="s">
        <v>142</v>
      </c>
      <c r="D70" s="14" t="s">
        <v>18</v>
      </c>
      <c r="E70" s="13" t="s">
        <v>143</v>
      </c>
      <c r="F70" s="14">
        <v>6969</v>
      </c>
      <c r="G70" s="14">
        <v>6990</v>
      </c>
      <c r="H70" s="14">
        <f t="shared" ref="H70:H130" si="8">G70-F70</f>
        <v>21</v>
      </c>
      <c r="I70" s="12"/>
      <c r="J70" s="14">
        <v>6990</v>
      </c>
      <c r="K70" s="14">
        <v>7002</v>
      </c>
      <c r="L70" s="14">
        <f t="shared" ref="L70:L133" si="9">K70-J70</f>
        <v>12</v>
      </c>
      <c r="M70" s="12"/>
      <c r="N70" s="14">
        <v>7002</v>
      </c>
      <c r="O70" s="14">
        <v>7013</v>
      </c>
      <c r="P70" s="14">
        <f t="shared" si="5"/>
        <v>11</v>
      </c>
      <c r="Q70" s="12"/>
      <c r="R70" s="14">
        <v>7013</v>
      </c>
      <c r="S70" s="14">
        <v>7024</v>
      </c>
      <c r="T70" s="14">
        <f t="shared" si="6"/>
        <v>11</v>
      </c>
      <c r="U70" s="12"/>
    </row>
    <row r="71" spans="1:21" ht="20.100000000000001" customHeight="1" x14ac:dyDescent="0.25">
      <c r="A71" s="7">
        <f t="shared" si="7"/>
        <v>67</v>
      </c>
      <c r="B71" s="20" t="s">
        <v>93</v>
      </c>
      <c r="C71" s="13" t="s">
        <v>144</v>
      </c>
      <c r="D71" s="14" t="s">
        <v>18</v>
      </c>
      <c r="E71" s="13" t="s">
        <v>145</v>
      </c>
      <c r="F71" s="14">
        <v>938</v>
      </c>
      <c r="G71" s="14">
        <v>938</v>
      </c>
      <c r="H71" s="14">
        <f t="shared" si="8"/>
        <v>0</v>
      </c>
      <c r="I71" s="12"/>
      <c r="J71" s="14">
        <v>938</v>
      </c>
      <c r="K71" s="14">
        <v>938</v>
      </c>
      <c r="L71" s="14">
        <f t="shared" si="9"/>
        <v>0</v>
      </c>
      <c r="M71" s="12"/>
      <c r="N71" s="14">
        <v>938</v>
      </c>
      <c r="O71" s="14">
        <v>938</v>
      </c>
      <c r="P71" s="14">
        <f t="shared" si="5"/>
        <v>0</v>
      </c>
      <c r="Q71" s="12"/>
      <c r="R71" s="14">
        <v>938</v>
      </c>
      <c r="S71" s="14">
        <v>938</v>
      </c>
      <c r="T71" s="14">
        <f t="shared" si="6"/>
        <v>0</v>
      </c>
      <c r="U71" s="12"/>
    </row>
    <row r="72" spans="1:21" ht="20.100000000000001" customHeight="1" x14ac:dyDescent="0.25">
      <c r="A72" s="7">
        <f t="shared" si="7"/>
        <v>68</v>
      </c>
      <c r="B72" s="11" t="s">
        <v>12</v>
      </c>
      <c r="C72" s="13" t="s">
        <v>146</v>
      </c>
      <c r="D72" s="14" t="s">
        <v>18</v>
      </c>
      <c r="E72" s="13" t="s">
        <v>147</v>
      </c>
      <c r="F72" s="14">
        <v>7582</v>
      </c>
      <c r="G72" s="14">
        <v>7609</v>
      </c>
      <c r="H72" s="14">
        <f t="shared" si="8"/>
        <v>27</v>
      </c>
      <c r="I72" s="12"/>
      <c r="J72" s="14">
        <v>7609</v>
      </c>
      <c r="K72" s="14">
        <v>7623</v>
      </c>
      <c r="L72" s="14">
        <f t="shared" si="9"/>
        <v>14</v>
      </c>
      <c r="M72" s="12"/>
      <c r="N72" s="14">
        <v>7623</v>
      </c>
      <c r="O72" s="14">
        <v>7635</v>
      </c>
      <c r="P72" s="14">
        <f t="shared" si="5"/>
        <v>12</v>
      </c>
      <c r="Q72" s="12"/>
      <c r="R72" s="14">
        <v>7635</v>
      </c>
      <c r="S72" s="14">
        <v>7648</v>
      </c>
      <c r="T72" s="14">
        <f t="shared" si="6"/>
        <v>13</v>
      </c>
      <c r="U72" s="12"/>
    </row>
    <row r="73" spans="1:21" ht="20.100000000000001" customHeight="1" x14ac:dyDescent="0.25">
      <c r="A73" s="7">
        <f t="shared" si="7"/>
        <v>69</v>
      </c>
      <c r="B73" s="11" t="s">
        <v>15</v>
      </c>
      <c r="C73" s="13" t="s">
        <v>148</v>
      </c>
      <c r="D73" s="14" t="s">
        <v>18</v>
      </c>
      <c r="E73" s="13" t="s">
        <v>149</v>
      </c>
      <c r="F73" s="14">
        <v>6495</v>
      </c>
      <c r="G73" s="14">
        <v>6495</v>
      </c>
      <c r="H73" s="14">
        <f t="shared" si="8"/>
        <v>0</v>
      </c>
      <c r="I73" s="12"/>
      <c r="J73" s="14">
        <v>6495</v>
      </c>
      <c r="K73" s="14">
        <v>6495</v>
      </c>
      <c r="L73" s="14">
        <f t="shared" si="9"/>
        <v>0</v>
      </c>
      <c r="M73" s="12"/>
      <c r="N73" s="14">
        <v>6495</v>
      </c>
      <c r="O73" s="14">
        <v>6495</v>
      </c>
      <c r="P73" s="14">
        <f t="shared" si="5"/>
        <v>0</v>
      </c>
      <c r="Q73" s="12"/>
      <c r="R73" s="14">
        <v>6495</v>
      </c>
      <c r="S73" s="14">
        <v>6531</v>
      </c>
      <c r="T73" s="14">
        <f t="shared" si="6"/>
        <v>36</v>
      </c>
      <c r="U73" s="12"/>
    </row>
    <row r="74" spans="1:21" ht="20.100000000000001" customHeight="1" x14ac:dyDescent="0.25">
      <c r="A74" s="7">
        <f t="shared" si="7"/>
        <v>70</v>
      </c>
      <c r="B74" s="11" t="s">
        <v>15</v>
      </c>
      <c r="C74" s="13" t="s">
        <v>150</v>
      </c>
      <c r="D74" s="14" t="s">
        <v>18</v>
      </c>
      <c r="E74" s="13" t="s">
        <v>151</v>
      </c>
      <c r="F74" s="14">
        <v>344</v>
      </c>
      <c r="G74" s="14">
        <v>344</v>
      </c>
      <c r="H74" s="14">
        <f t="shared" si="8"/>
        <v>0</v>
      </c>
      <c r="I74" s="12"/>
      <c r="J74" s="14">
        <v>344</v>
      </c>
      <c r="K74" s="14">
        <v>344</v>
      </c>
      <c r="L74" s="14">
        <f t="shared" si="9"/>
        <v>0</v>
      </c>
      <c r="M74" s="12"/>
      <c r="N74" s="14">
        <v>344</v>
      </c>
      <c r="O74" s="14">
        <v>344</v>
      </c>
      <c r="P74" s="14">
        <f t="shared" si="5"/>
        <v>0</v>
      </c>
      <c r="Q74" s="12"/>
      <c r="R74" s="14">
        <v>344</v>
      </c>
      <c r="S74" s="14">
        <v>344</v>
      </c>
      <c r="T74" s="14">
        <f t="shared" si="6"/>
        <v>0</v>
      </c>
      <c r="U74" s="12"/>
    </row>
    <row r="75" spans="1:21" ht="20.100000000000001" customHeight="1" x14ac:dyDescent="0.25">
      <c r="A75" s="7">
        <f t="shared" si="7"/>
        <v>71</v>
      </c>
      <c r="B75" s="11" t="s">
        <v>15</v>
      </c>
      <c r="C75" s="13" t="s">
        <v>152</v>
      </c>
      <c r="D75" s="14" t="s">
        <v>18</v>
      </c>
      <c r="E75" s="13" t="s">
        <v>152</v>
      </c>
      <c r="F75" s="14">
        <v>520</v>
      </c>
      <c r="G75" s="14">
        <v>520</v>
      </c>
      <c r="H75" s="14">
        <f t="shared" si="8"/>
        <v>0</v>
      </c>
      <c r="I75" s="12"/>
      <c r="J75" s="14">
        <v>520</v>
      </c>
      <c r="K75" s="14">
        <v>520</v>
      </c>
      <c r="L75" s="14">
        <f t="shared" si="9"/>
        <v>0</v>
      </c>
      <c r="M75" s="12"/>
      <c r="N75" s="14">
        <v>520</v>
      </c>
      <c r="O75" s="14">
        <v>520</v>
      </c>
      <c r="P75" s="14">
        <f t="shared" si="5"/>
        <v>0</v>
      </c>
      <c r="Q75" s="12"/>
      <c r="R75" s="14">
        <v>520</v>
      </c>
      <c r="S75" s="14">
        <v>520</v>
      </c>
      <c r="T75" s="14">
        <f t="shared" si="6"/>
        <v>0</v>
      </c>
      <c r="U75" s="12"/>
    </row>
    <row r="76" spans="1:21" ht="20.100000000000001" hidden="1" customHeight="1" x14ac:dyDescent="0.25">
      <c r="A76" s="7">
        <f t="shared" si="7"/>
        <v>72</v>
      </c>
      <c r="B76" s="11" t="s">
        <v>93</v>
      </c>
      <c r="C76" s="15" t="s">
        <v>153</v>
      </c>
      <c r="D76" s="14" t="s">
        <v>18</v>
      </c>
      <c r="E76" s="13" t="s">
        <v>153</v>
      </c>
      <c r="F76" s="14">
        <v>1780</v>
      </c>
      <c r="G76" s="14">
        <v>1780</v>
      </c>
      <c r="H76" s="14">
        <f t="shared" si="8"/>
        <v>0</v>
      </c>
      <c r="I76" s="16">
        <v>24</v>
      </c>
      <c r="J76" s="14">
        <v>1780</v>
      </c>
      <c r="K76" s="14">
        <v>1780</v>
      </c>
      <c r="L76" s="14">
        <f t="shared" si="9"/>
        <v>0</v>
      </c>
      <c r="M76" s="16">
        <v>24</v>
      </c>
      <c r="N76" s="14">
        <v>1780</v>
      </c>
      <c r="O76" s="14">
        <v>1780</v>
      </c>
      <c r="P76" s="14">
        <f t="shared" si="5"/>
        <v>0</v>
      </c>
      <c r="Q76" s="16">
        <v>24</v>
      </c>
      <c r="R76" s="14">
        <v>1780</v>
      </c>
      <c r="S76" s="14">
        <v>1780</v>
      </c>
      <c r="T76" s="14">
        <f t="shared" si="6"/>
        <v>0</v>
      </c>
      <c r="U76" s="16">
        <v>24</v>
      </c>
    </row>
    <row r="77" spans="1:21" ht="20.100000000000001" customHeight="1" x14ac:dyDescent="0.25">
      <c r="A77" s="7">
        <f t="shared" si="7"/>
        <v>73</v>
      </c>
      <c r="B77" s="11" t="s">
        <v>154</v>
      </c>
      <c r="C77" s="13" t="s">
        <v>155</v>
      </c>
      <c r="D77" s="14" t="s">
        <v>18</v>
      </c>
      <c r="E77" s="13" t="s">
        <v>155</v>
      </c>
      <c r="F77" s="14">
        <v>1637</v>
      </c>
      <c r="G77" s="14">
        <v>1637</v>
      </c>
      <c r="H77" s="14">
        <f t="shared" si="8"/>
        <v>0</v>
      </c>
      <c r="I77" s="12"/>
      <c r="J77" s="14">
        <v>1637</v>
      </c>
      <c r="K77" s="14">
        <v>1637</v>
      </c>
      <c r="L77" s="14">
        <f t="shared" si="9"/>
        <v>0</v>
      </c>
      <c r="M77" s="12"/>
      <c r="N77" s="14">
        <v>1637</v>
      </c>
      <c r="O77" s="14">
        <v>1637</v>
      </c>
      <c r="P77" s="14">
        <f t="shared" si="5"/>
        <v>0</v>
      </c>
      <c r="Q77" s="12"/>
      <c r="R77" s="14">
        <v>1637</v>
      </c>
      <c r="S77" s="14">
        <v>1647</v>
      </c>
      <c r="T77" s="14">
        <f t="shared" si="6"/>
        <v>10</v>
      </c>
      <c r="U77" s="12"/>
    </row>
    <row r="78" spans="1:21" ht="20.100000000000001" customHeight="1" x14ac:dyDescent="0.25">
      <c r="A78" s="7">
        <f t="shared" si="7"/>
        <v>74</v>
      </c>
      <c r="B78" s="11" t="s">
        <v>156</v>
      </c>
      <c r="C78" s="13" t="s">
        <v>157</v>
      </c>
      <c r="D78" s="14" t="s">
        <v>18</v>
      </c>
      <c r="E78" s="13" t="s">
        <v>157</v>
      </c>
      <c r="F78" s="14">
        <v>3</v>
      </c>
      <c r="G78" s="14">
        <v>19</v>
      </c>
      <c r="H78" s="14">
        <f t="shared" si="8"/>
        <v>16</v>
      </c>
      <c r="I78" s="12"/>
      <c r="J78" s="14">
        <v>19</v>
      </c>
      <c r="K78" s="14">
        <v>20</v>
      </c>
      <c r="L78" s="14">
        <f t="shared" si="9"/>
        <v>1</v>
      </c>
      <c r="M78" s="12"/>
      <c r="N78" s="14">
        <v>20</v>
      </c>
      <c r="O78" s="14">
        <v>31</v>
      </c>
      <c r="P78" s="14">
        <f t="shared" si="5"/>
        <v>11</v>
      </c>
      <c r="Q78" s="12"/>
      <c r="R78" s="14">
        <v>31</v>
      </c>
      <c r="S78" s="14">
        <v>44</v>
      </c>
      <c r="T78" s="14">
        <f t="shared" si="6"/>
        <v>13</v>
      </c>
      <c r="U78" s="12"/>
    </row>
    <row r="79" spans="1:21" ht="20.100000000000001" customHeight="1" x14ac:dyDescent="0.25">
      <c r="A79" s="7">
        <f t="shared" si="7"/>
        <v>75</v>
      </c>
      <c r="B79" s="11" t="s">
        <v>158</v>
      </c>
      <c r="C79" s="13" t="s">
        <v>159</v>
      </c>
      <c r="D79" s="14" t="s">
        <v>18</v>
      </c>
      <c r="E79" s="13" t="s">
        <v>159</v>
      </c>
      <c r="F79" s="14">
        <v>9330</v>
      </c>
      <c r="G79" s="14">
        <v>9330</v>
      </c>
      <c r="H79" s="14">
        <f t="shared" si="8"/>
        <v>0</v>
      </c>
      <c r="I79" s="12"/>
      <c r="J79" s="14">
        <v>9330</v>
      </c>
      <c r="K79" s="14">
        <v>9330</v>
      </c>
      <c r="L79" s="14">
        <f t="shared" si="9"/>
        <v>0</v>
      </c>
      <c r="M79" s="12"/>
      <c r="N79" s="14">
        <v>9330</v>
      </c>
      <c r="O79" s="14">
        <v>9330</v>
      </c>
      <c r="P79" s="14">
        <f t="shared" si="5"/>
        <v>0</v>
      </c>
      <c r="Q79" s="12"/>
      <c r="R79" s="14">
        <v>9330</v>
      </c>
      <c r="S79" s="14">
        <v>9330</v>
      </c>
      <c r="T79" s="14">
        <f t="shared" si="6"/>
        <v>0</v>
      </c>
      <c r="U79" s="12"/>
    </row>
    <row r="80" spans="1:21" ht="20.100000000000001" hidden="1" customHeight="1" x14ac:dyDescent="0.25">
      <c r="A80" s="7">
        <f t="shared" si="7"/>
        <v>76</v>
      </c>
      <c r="B80" s="11" t="s">
        <v>160</v>
      </c>
      <c r="C80" s="13" t="s">
        <v>161</v>
      </c>
      <c r="D80" s="14" t="s">
        <v>18</v>
      </c>
      <c r="E80" s="13" t="s">
        <v>161</v>
      </c>
      <c r="F80" s="14">
        <v>716</v>
      </c>
      <c r="G80" s="14">
        <v>716</v>
      </c>
      <c r="H80" s="14">
        <f t="shared" si="8"/>
        <v>0</v>
      </c>
      <c r="I80" s="16">
        <v>24</v>
      </c>
      <c r="J80" s="14">
        <v>716</v>
      </c>
      <c r="K80" s="14">
        <v>716</v>
      </c>
      <c r="L80" s="14">
        <f t="shared" si="9"/>
        <v>0</v>
      </c>
      <c r="M80" s="16">
        <v>24</v>
      </c>
      <c r="N80" s="14">
        <v>716</v>
      </c>
      <c r="O80" s="14">
        <v>716</v>
      </c>
      <c r="P80" s="14">
        <f t="shared" ref="P80:P143" si="10">O80-N80</f>
        <v>0</v>
      </c>
      <c r="Q80" s="16">
        <v>24</v>
      </c>
      <c r="R80" s="14">
        <v>716</v>
      </c>
      <c r="S80" s="14">
        <v>716</v>
      </c>
      <c r="T80" s="14">
        <f t="shared" ref="T80:T143" si="11">S80-R80</f>
        <v>0</v>
      </c>
      <c r="U80" s="16">
        <v>24</v>
      </c>
    </row>
    <row r="81" spans="1:21" ht="20.100000000000001" customHeight="1" x14ac:dyDescent="0.25">
      <c r="A81" s="7">
        <f t="shared" si="7"/>
        <v>77</v>
      </c>
      <c r="B81" s="11" t="s">
        <v>162</v>
      </c>
      <c r="C81" s="13" t="s">
        <v>163</v>
      </c>
      <c r="D81" s="14" t="s">
        <v>18</v>
      </c>
      <c r="E81" s="13" t="s">
        <v>163</v>
      </c>
      <c r="F81" s="14">
        <v>20214</v>
      </c>
      <c r="G81" s="14">
        <v>20214</v>
      </c>
      <c r="H81" s="14">
        <f t="shared" si="8"/>
        <v>0</v>
      </c>
      <c r="I81" s="12"/>
      <c r="J81" s="14">
        <v>20214</v>
      </c>
      <c r="K81" s="14">
        <v>20214</v>
      </c>
      <c r="L81" s="14">
        <f t="shared" si="9"/>
        <v>0</v>
      </c>
      <c r="M81" s="12"/>
      <c r="N81" s="14">
        <v>20214</v>
      </c>
      <c r="O81" s="14">
        <v>20214</v>
      </c>
      <c r="P81" s="14">
        <f t="shared" si="10"/>
        <v>0</v>
      </c>
      <c r="Q81" s="12"/>
      <c r="R81" s="14">
        <v>20214</v>
      </c>
      <c r="S81" s="14">
        <v>20214</v>
      </c>
      <c r="T81" s="14">
        <f t="shared" si="11"/>
        <v>0</v>
      </c>
      <c r="U81" s="12"/>
    </row>
    <row r="82" spans="1:21" ht="20.100000000000001" hidden="1" customHeight="1" x14ac:dyDescent="0.25">
      <c r="A82" s="7">
        <f t="shared" si="7"/>
        <v>78</v>
      </c>
      <c r="B82" s="11" t="s">
        <v>164</v>
      </c>
      <c r="C82" s="13" t="s">
        <v>165</v>
      </c>
      <c r="D82" s="14" t="s">
        <v>18</v>
      </c>
      <c r="E82" s="13" t="s">
        <v>165</v>
      </c>
      <c r="F82" s="14">
        <v>637</v>
      </c>
      <c r="G82" s="14">
        <v>637</v>
      </c>
      <c r="H82" s="14">
        <f t="shared" si="8"/>
        <v>0</v>
      </c>
      <c r="I82" s="12"/>
      <c r="J82" s="14">
        <v>637</v>
      </c>
      <c r="K82" s="14">
        <v>637</v>
      </c>
      <c r="L82" s="14">
        <f t="shared" si="9"/>
        <v>0</v>
      </c>
      <c r="M82" s="16">
        <v>24</v>
      </c>
      <c r="N82" s="14">
        <v>637</v>
      </c>
      <c r="O82" s="14">
        <v>637</v>
      </c>
      <c r="P82" s="14">
        <f t="shared" si="10"/>
        <v>0</v>
      </c>
      <c r="Q82" s="16">
        <v>24</v>
      </c>
      <c r="R82" s="14">
        <v>637</v>
      </c>
      <c r="S82" s="14">
        <v>637</v>
      </c>
      <c r="T82" s="14">
        <f t="shared" si="11"/>
        <v>0</v>
      </c>
      <c r="U82" s="16">
        <v>24</v>
      </c>
    </row>
    <row r="83" spans="1:21" ht="20.100000000000001" customHeight="1" x14ac:dyDescent="0.25">
      <c r="A83" s="7">
        <f t="shared" si="7"/>
        <v>79</v>
      </c>
      <c r="B83" s="11" t="s">
        <v>12</v>
      </c>
      <c r="C83" s="13" t="s">
        <v>166</v>
      </c>
      <c r="D83" s="14">
        <v>1045</v>
      </c>
      <c r="E83" s="13" t="s">
        <v>167</v>
      </c>
      <c r="F83" s="14">
        <v>4978</v>
      </c>
      <c r="G83" s="14">
        <v>5030</v>
      </c>
      <c r="H83" s="14">
        <f t="shared" si="8"/>
        <v>52</v>
      </c>
      <c r="I83" s="12"/>
      <c r="J83" s="14">
        <v>5030</v>
      </c>
      <c r="K83" s="14">
        <v>5030</v>
      </c>
      <c r="L83" s="14">
        <f t="shared" si="9"/>
        <v>0</v>
      </c>
      <c r="M83" s="12"/>
      <c r="N83" s="14">
        <v>5030</v>
      </c>
      <c r="O83" s="14">
        <v>5032</v>
      </c>
      <c r="P83" s="14">
        <f t="shared" si="10"/>
        <v>2</v>
      </c>
      <c r="Q83" s="12"/>
      <c r="R83" s="14">
        <v>5032</v>
      </c>
      <c r="S83" s="14">
        <v>5033</v>
      </c>
      <c r="T83" s="14">
        <f t="shared" si="11"/>
        <v>1</v>
      </c>
      <c r="U83" s="12"/>
    </row>
    <row r="84" spans="1:21" ht="20.100000000000001" customHeight="1" x14ac:dyDescent="0.25">
      <c r="A84" s="7">
        <f t="shared" si="7"/>
        <v>80</v>
      </c>
      <c r="B84" s="17" t="s">
        <v>168</v>
      </c>
      <c r="C84" s="18" t="s">
        <v>169</v>
      </c>
      <c r="D84" s="19">
        <v>1045</v>
      </c>
      <c r="E84" s="18" t="s">
        <v>170</v>
      </c>
      <c r="F84" s="14">
        <v>4310</v>
      </c>
      <c r="G84" s="14">
        <v>4327</v>
      </c>
      <c r="H84" s="14">
        <f t="shared" si="8"/>
        <v>17</v>
      </c>
      <c r="I84" s="28"/>
      <c r="J84" s="14">
        <v>4327</v>
      </c>
      <c r="K84" s="14">
        <v>4339</v>
      </c>
      <c r="L84" s="14">
        <f t="shared" si="9"/>
        <v>12</v>
      </c>
      <c r="M84" s="28"/>
      <c r="N84" s="14">
        <v>4339</v>
      </c>
      <c r="O84" s="14">
        <v>4350</v>
      </c>
      <c r="P84" s="14">
        <f t="shared" si="10"/>
        <v>11</v>
      </c>
      <c r="Q84" s="28"/>
      <c r="R84" s="14">
        <v>4350</v>
      </c>
      <c r="S84" s="14">
        <v>4361</v>
      </c>
      <c r="T84" s="14">
        <f t="shared" si="11"/>
        <v>11</v>
      </c>
      <c r="U84" s="28"/>
    </row>
    <row r="85" spans="1:21" ht="20.100000000000001" customHeight="1" x14ac:dyDescent="0.25">
      <c r="A85" s="7">
        <f t="shared" si="7"/>
        <v>81</v>
      </c>
      <c r="B85" s="17" t="s">
        <v>171</v>
      </c>
      <c r="C85" s="18" t="s">
        <v>172</v>
      </c>
      <c r="D85" s="19">
        <v>1045</v>
      </c>
      <c r="E85" s="18" t="s">
        <v>172</v>
      </c>
      <c r="F85" s="14">
        <v>5215</v>
      </c>
      <c r="G85" s="14">
        <v>5285</v>
      </c>
      <c r="H85" s="14">
        <f t="shared" si="8"/>
        <v>70</v>
      </c>
      <c r="I85" s="33"/>
      <c r="J85" s="14">
        <v>5285</v>
      </c>
      <c r="K85" s="14">
        <v>5295</v>
      </c>
      <c r="L85" s="14">
        <f t="shared" si="9"/>
        <v>10</v>
      </c>
      <c r="M85" s="33"/>
      <c r="N85" s="14">
        <v>5295</v>
      </c>
      <c r="O85" s="14">
        <v>5309</v>
      </c>
      <c r="P85" s="14">
        <f t="shared" si="10"/>
        <v>14</v>
      </c>
      <c r="Q85" s="33"/>
      <c r="R85" s="14">
        <v>5309</v>
      </c>
      <c r="S85" s="14">
        <v>5322</v>
      </c>
      <c r="T85" s="14">
        <f t="shared" si="11"/>
        <v>13</v>
      </c>
      <c r="U85" s="33"/>
    </row>
    <row r="86" spans="1:21" ht="20.100000000000001" customHeight="1" x14ac:dyDescent="0.25">
      <c r="A86" s="7">
        <f t="shared" si="7"/>
        <v>82</v>
      </c>
      <c r="B86" s="17" t="s">
        <v>171</v>
      </c>
      <c r="C86" s="18" t="s">
        <v>173</v>
      </c>
      <c r="D86" s="19">
        <v>1045</v>
      </c>
      <c r="E86" s="18" t="s">
        <v>173</v>
      </c>
      <c r="F86" s="14">
        <v>3582</v>
      </c>
      <c r="G86" s="14">
        <v>3582</v>
      </c>
      <c r="H86" s="14">
        <f t="shared" si="8"/>
        <v>0</v>
      </c>
      <c r="I86" s="12"/>
      <c r="J86" s="14">
        <v>3582</v>
      </c>
      <c r="K86" s="14">
        <v>3582</v>
      </c>
      <c r="L86" s="14">
        <f t="shared" si="9"/>
        <v>0</v>
      </c>
      <c r="M86" s="12"/>
      <c r="N86" s="14">
        <v>3582</v>
      </c>
      <c r="O86" s="14">
        <v>3582</v>
      </c>
      <c r="P86" s="14">
        <f t="shared" si="10"/>
        <v>0</v>
      </c>
      <c r="Q86" s="12"/>
      <c r="R86" s="14">
        <v>3582</v>
      </c>
      <c r="S86" s="14">
        <v>3582</v>
      </c>
      <c r="T86" s="14">
        <f t="shared" si="11"/>
        <v>0</v>
      </c>
      <c r="U86" s="12"/>
    </row>
    <row r="87" spans="1:21" ht="20.100000000000001" customHeight="1" x14ac:dyDescent="0.25">
      <c r="A87" s="7">
        <f t="shared" si="7"/>
        <v>83</v>
      </c>
      <c r="B87" s="17" t="s">
        <v>171</v>
      </c>
      <c r="C87" s="18" t="s">
        <v>368</v>
      </c>
      <c r="D87" s="19">
        <v>1045</v>
      </c>
      <c r="E87" s="18" t="s">
        <v>368</v>
      </c>
      <c r="F87" s="14">
        <v>5820</v>
      </c>
      <c r="G87" s="14">
        <v>5820</v>
      </c>
      <c r="H87" s="14">
        <f t="shared" si="8"/>
        <v>0</v>
      </c>
      <c r="I87" s="12"/>
      <c r="J87" s="14">
        <v>5820</v>
      </c>
      <c r="K87" s="14">
        <v>5820</v>
      </c>
      <c r="L87" s="14">
        <f t="shared" si="9"/>
        <v>0</v>
      </c>
      <c r="M87" s="12"/>
      <c r="N87" s="14">
        <v>5820</v>
      </c>
      <c r="O87" s="14">
        <v>5820</v>
      </c>
      <c r="P87" s="14">
        <f t="shared" si="10"/>
        <v>0</v>
      </c>
      <c r="Q87" s="12"/>
      <c r="R87" s="14">
        <v>5820</v>
      </c>
      <c r="S87" s="14">
        <v>5871</v>
      </c>
      <c r="T87" s="14">
        <f t="shared" si="11"/>
        <v>51</v>
      </c>
      <c r="U87" s="12"/>
    </row>
    <row r="88" spans="1:21" ht="20.100000000000001" customHeight="1" x14ac:dyDescent="0.25">
      <c r="A88" s="7">
        <f t="shared" si="7"/>
        <v>84</v>
      </c>
      <c r="B88" s="17" t="s">
        <v>171</v>
      </c>
      <c r="C88" s="18" t="s">
        <v>174</v>
      </c>
      <c r="D88" s="19">
        <v>1045</v>
      </c>
      <c r="E88" s="18" t="s">
        <v>174</v>
      </c>
      <c r="F88" s="14">
        <v>6149</v>
      </c>
      <c r="G88" s="14">
        <v>6149</v>
      </c>
      <c r="H88" s="14">
        <f t="shared" si="8"/>
        <v>0</v>
      </c>
      <c r="I88" s="12"/>
      <c r="J88" s="14">
        <v>6149</v>
      </c>
      <c r="K88" s="14">
        <v>6149</v>
      </c>
      <c r="L88" s="14">
        <f t="shared" si="9"/>
        <v>0</v>
      </c>
      <c r="M88" s="12"/>
      <c r="N88" s="14">
        <v>6149</v>
      </c>
      <c r="O88" s="14">
        <v>6149</v>
      </c>
      <c r="P88" s="14">
        <f t="shared" si="10"/>
        <v>0</v>
      </c>
      <c r="Q88" s="12"/>
      <c r="R88" s="14">
        <v>6149</v>
      </c>
      <c r="S88" s="14">
        <v>6149</v>
      </c>
      <c r="T88" s="14">
        <f t="shared" si="11"/>
        <v>0</v>
      </c>
      <c r="U88" s="12"/>
    </row>
    <row r="89" spans="1:21" ht="20.100000000000001" customHeight="1" x14ac:dyDescent="0.25">
      <c r="A89" s="7">
        <f t="shared" si="7"/>
        <v>85</v>
      </c>
      <c r="B89" s="17" t="s">
        <v>171</v>
      </c>
      <c r="C89" s="18" t="s">
        <v>371</v>
      </c>
      <c r="D89" s="19">
        <v>1045</v>
      </c>
      <c r="E89" s="18" t="s">
        <v>371</v>
      </c>
      <c r="F89" s="14">
        <v>2856</v>
      </c>
      <c r="G89" s="14">
        <v>2856</v>
      </c>
      <c r="H89" s="14">
        <f t="shared" si="8"/>
        <v>0</v>
      </c>
      <c r="I89" s="12"/>
      <c r="J89" s="14">
        <v>2856</v>
      </c>
      <c r="K89" s="14">
        <v>2856</v>
      </c>
      <c r="L89" s="14">
        <f t="shared" si="9"/>
        <v>0</v>
      </c>
      <c r="M89" s="12"/>
      <c r="N89" s="14">
        <v>2856</v>
      </c>
      <c r="O89" s="14">
        <v>2856</v>
      </c>
      <c r="P89" s="14">
        <f t="shared" si="10"/>
        <v>0</v>
      </c>
      <c r="Q89" s="12"/>
      <c r="R89" s="14">
        <v>2856</v>
      </c>
      <c r="S89" s="14">
        <v>2858</v>
      </c>
      <c r="T89" s="14">
        <f t="shared" si="11"/>
        <v>2</v>
      </c>
      <c r="U89" s="12"/>
    </row>
    <row r="90" spans="1:21" ht="20.100000000000001" customHeight="1" x14ac:dyDescent="0.25">
      <c r="A90" s="7">
        <f t="shared" si="7"/>
        <v>86</v>
      </c>
      <c r="B90" s="17" t="s">
        <v>15</v>
      </c>
      <c r="C90" s="18" t="s">
        <v>369</v>
      </c>
      <c r="D90" s="19">
        <v>1045</v>
      </c>
      <c r="E90" s="18" t="s">
        <v>370</v>
      </c>
      <c r="F90" s="14">
        <v>2028</v>
      </c>
      <c r="G90" s="14">
        <v>2048</v>
      </c>
      <c r="H90" s="14">
        <f t="shared" si="8"/>
        <v>20</v>
      </c>
      <c r="I90" s="12"/>
      <c r="J90" s="14">
        <v>2048</v>
      </c>
      <c r="K90" s="14">
        <v>2063</v>
      </c>
      <c r="L90" s="14">
        <f t="shared" si="9"/>
        <v>15</v>
      </c>
      <c r="M90" s="12"/>
      <c r="N90" s="14">
        <v>2063</v>
      </c>
      <c r="O90" s="14">
        <v>2080</v>
      </c>
      <c r="P90" s="14">
        <f t="shared" si="10"/>
        <v>17</v>
      </c>
      <c r="Q90" s="12"/>
      <c r="R90" s="14">
        <v>2080</v>
      </c>
      <c r="S90" s="14">
        <v>2088</v>
      </c>
      <c r="T90" s="14">
        <f t="shared" si="11"/>
        <v>8</v>
      </c>
      <c r="U90" s="12"/>
    </row>
    <row r="91" spans="1:21" ht="20.100000000000001" customHeight="1" x14ac:dyDescent="0.25">
      <c r="A91" s="7">
        <f t="shared" si="7"/>
        <v>87</v>
      </c>
      <c r="B91" s="11" t="s">
        <v>175</v>
      </c>
      <c r="C91" s="13" t="s">
        <v>176</v>
      </c>
      <c r="D91" s="14" t="s">
        <v>177</v>
      </c>
      <c r="E91" s="13" t="s">
        <v>178</v>
      </c>
      <c r="F91" s="14">
        <v>22530</v>
      </c>
      <c r="G91" s="14">
        <v>22545</v>
      </c>
      <c r="H91" s="14">
        <f t="shared" si="8"/>
        <v>15</v>
      </c>
      <c r="I91" s="12"/>
      <c r="J91" s="14">
        <v>22545</v>
      </c>
      <c r="K91" s="14">
        <v>22550</v>
      </c>
      <c r="L91" s="14">
        <f t="shared" si="9"/>
        <v>5</v>
      </c>
      <c r="M91" s="12"/>
      <c r="N91" s="14">
        <v>22550</v>
      </c>
      <c r="O91" s="14">
        <v>22560</v>
      </c>
      <c r="P91" s="14">
        <f t="shared" si="10"/>
        <v>10</v>
      </c>
      <c r="Q91" s="12"/>
      <c r="R91" s="14">
        <v>22560</v>
      </c>
      <c r="S91" s="14">
        <v>22572</v>
      </c>
      <c r="T91" s="14">
        <f t="shared" si="11"/>
        <v>12</v>
      </c>
      <c r="U91" s="12"/>
    </row>
    <row r="92" spans="1:21" ht="20.100000000000001" customHeight="1" x14ac:dyDescent="0.25">
      <c r="A92" s="7">
        <f t="shared" si="7"/>
        <v>88</v>
      </c>
      <c r="B92" s="11" t="s">
        <v>179</v>
      </c>
      <c r="C92" s="13" t="s">
        <v>180</v>
      </c>
      <c r="D92" s="14" t="s">
        <v>177</v>
      </c>
      <c r="E92" s="13" t="s">
        <v>181</v>
      </c>
      <c r="F92" s="14">
        <v>25940</v>
      </c>
      <c r="G92" s="14">
        <v>25963</v>
      </c>
      <c r="H92" s="14">
        <f t="shared" si="8"/>
        <v>23</v>
      </c>
      <c r="I92" s="12"/>
      <c r="J92" s="14">
        <v>25963</v>
      </c>
      <c r="K92" s="14">
        <v>25976</v>
      </c>
      <c r="L92" s="14">
        <f t="shared" si="9"/>
        <v>13</v>
      </c>
      <c r="M92" s="12"/>
      <c r="N92" s="14">
        <v>25976</v>
      </c>
      <c r="O92" s="14">
        <v>25989</v>
      </c>
      <c r="P92" s="14">
        <f t="shared" si="10"/>
        <v>13</v>
      </c>
      <c r="Q92" s="12"/>
      <c r="R92" s="14">
        <v>25989</v>
      </c>
      <c r="S92" s="14">
        <v>26002</v>
      </c>
      <c r="T92" s="14">
        <f t="shared" si="11"/>
        <v>13</v>
      </c>
      <c r="U92" s="12"/>
    </row>
    <row r="93" spans="1:21" ht="20.100000000000001" customHeight="1" x14ac:dyDescent="0.25">
      <c r="A93" s="7">
        <f t="shared" si="7"/>
        <v>89</v>
      </c>
      <c r="B93" s="17" t="s">
        <v>182</v>
      </c>
      <c r="C93" s="18" t="s">
        <v>183</v>
      </c>
      <c r="D93" s="19" t="s">
        <v>177</v>
      </c>
      <c r="E93" s="18" t="s">
        <v>184</v>
      </c>
      <c r="F93" s="14">
        <v>40858</v>
      </c>
      <c r="G93" s="14">
        <v>40871</v>
      </c>
      <c r="H93" s="14">
        <f t="shared" si="8"/>
        <v>13</v>
      </c>
      <c r="I93" s="12"/>
      <c r="J93" s="14">
        <v>40871</v>
      </c>
      <c r="K93" s="14">
        <v>40881</v>
      </c>
      <c r="L93" s="14">
        <f t="shared" si="9"/>
        <v>10</v>
      </c>
      <c r="M93" s="12"/>
      <c r="N93" s="14">
        <v>40881</v>
      </c>
      <c r="O93" s="14">
        <v>40887</v>
      </c>
      <c r="P93" s="14">
        <f t="shared" si="10"/>
        <v>6</v>
      </c>
      <c r="Q93" s="12"/>
      <c r="R93" s="14">
        <v>40887</v>
      </c>
      <c r="S93" s="14">
        <v>40892</v>
      </c>
      <c r="T93" s="14">
        <f t="shared" si="11"/>
        <v>5</v>
      </c>
      <c r="U93" s="12"/>
    </row>
    <row r="94" spans="1:21" ht="20.100000000000001" customHeight="1" x14ac:dyDescent="0.25">
      <c r="A94" s="7">
        <f t="shared" si="7"/>
        <v>90</v>
      </c>
      <c r="B94" s="17" t="s">
        <v>185</v>
      </c>
      <c r="C94" s="18" t="s">
        <v>186</v>
      </c>
      <c r="D94" s="19">
        <v>1008</v>
      </c>
      <c r="E94" s="18" t="s">
        <v>187</v>
      </c>
      <c r="F94" s="14">
        <v>891</v>
      </c>
      <c r="G94" s="14">
        <v>899</v>
      </c>
      <c r="H94" s="14">
        <f t="shared" si="8"/>
        <v>8</v>
      </c>
      <c r="I94" s="12"/>
      <c r="J94" s="14">
        <v>899</v>
      </c>
      <c r="K94" s="14">
        <v>918</v>
      </c>
      <c r="L94" s="14">
        <f t="shared" si="9"/>
        <v>19</v>
      </c>
      <c r="M94" s="12"/>
      <c r="N94" s="14">
        <v>918</v>
      </c>
      <c r="O94" s="14">
        <v>927</v>
      </c>
      <c r="P94" s="14">
        <f t="shared" si="10"/>
        <v>9</v>
      </c>
      <c r="Q94" s="12"/>
      <c r="R94" s="14">
        <v>927</v>
      </c>
      <c r="S94" s="14">
        <v>935</v>
      </c>
      <c r="T94" s="14">
        <f t="shared" si="11"/>
        <v>8</v>
      </c>
      <c r="U94" s="12"/>
    </row>
    <row r="95" spans="1:21" ht="20.100000000000001" customHeight="1" x14ac:dyDescent="0.25">
      <c r="A95" s="7">
        <f t="shared" si="7"/>
        <v>91</v>
      </c>
      <c r="B95" s="17" t="s">
        <v>188</v>
      </c>
      <c r="C95" s="18" t="s">
        <v>189</v>
      </c>
      <c r="D95" s="19">
        <v>1008</v>
      </c>
      <c r="E95" s="18" t="s">
        <v>190</v>
      </c>
      <c r="F95" s="14">
        <v>28848</v>
      </c>
      <c r="G95" s="14">
        <v>28860</v>
      </c>
      <c r="H95" s="14">
        <f t="shared" si="8"/>
        <v>12</v>
      </c>
      <c r="I95" s="12"/>
      <c r="J95" s="14">
        <v>28860</v>
      </c>
      <c r="K95" s="14">
        <v>28867</v>
      </c>
      <c r="L95" s="14">
        <f t="shared" si="9"/>
        <v>7</v>
      </c>
      <c r="M95" s="12"/>
      <c r="N95" s="14">
        <v>28867</v>
      </c>
      <c r="O95" s="14">
        <v>28877</v>
      </c>
      <c r="P95" s="14">
        <f t="shared" si="10"/>
        <v>10</v>
      </c>
      <c r="Q95" s="12"/>
      <c r="R95" s="14">
        <v>28877</v>
      </c>
      <c r="S95" s="14">
        <v>28886</v>
      </c>
      <c r="T95" s="14">
        <f t="shared" si="11"/>
        <v>9</v>
      </c>
      <c r="U95" s="12"/>
    </row>
    <row r="96" spans="1:21" ht="20.100000000000001" customHeight="1" x14ac:dyDescent="0.25">
      <c r="A96" s="7">
        <f t="shared" si="7"/>
        <v>92</v>
      </c>
      <c r="B96" s="11" t="s">
        <v>191</v>
      </c>
      <c r="C96" s="13" t="s">
        <v>192</v>
      </c>
      <c r="D96" s="14" t="s">
        <v>177</v>
      </c>
      <c r="E96" s="13" t="s">
        <v>192</v>
      </c>
      <c r="F96" s="14">
        <v>11404</v>
      </c>
      <c r="G96" s="14">
        <v>11414</v>
      </c>
      <c r="H96" s="14">
        <f t="shared" si="8"/>
        <v>10</v>
      </c>
      <c r="I96" s="12"/>
      <c r="J96" s="14">
        <v>11414</v>
      </c>
      <c r="K96" s="14">
        <v>11422</v>
      </c>
      <c r="L96" s="14">
        <f t="shared" si="9"/>
        <v>8</v>
      </c>
      <c r="M96" s="12"/>
      <c r="N96" s="14">
        <v>11422</v>
      </c>
      <c r="O96" s="14">
        <v>11422</v>
      </c>
      <c r="P96" s="14">
        <f t="shared" si="10"/>
        <v>0</v>
      </c>
      <c r="Q96" s="12"/>
      <c r="R96" s="14">
        <v>11422</v>
      </c>
      <c r="S96" s="14">
        <v>11426</v>
      </c>
      <c r="T96" s="14">
        <f t="shared" si="11"/>
        <v>4</v>
      </c>
      <c r="U96" s="12"/>
    </row>
    <row r="97" spans="1:21" ht="20.100000000000001" customHeight="1" x14ac:dyDescent="0.25">
      <c r="A97" s="7">
        <f t="shared" si="7"/>
        <v>93</v>
      </c>
      <c r="B97" s="11" t="s">
        <v>193</v>
      </c>
      <c r="C97" s="13" t="s">
        <v>194</v>
      </c>
      <c r="D97" s="14" t="s">
        <v>177</v>
      </c>
      <c r="E97" s="13" t="s">
        <v>194</v>
      </c>
      <c r="F97" s="14">
        <v>6517</v>
      </c>
      <c r="G97" s="14">
        <v>6535</v>
      </c>
      <c r="H97" s="14">
        <f t="shared" si="8"/>
        <v>18</v>
      </c>
      <c r="I97" s="12"/>
      <c r="J97" s="14">
        <v>6535</v>
      </c>
      <c r="K97" s="14">
        <v>6543</v>
      </c>
      <c r="L97" s="14">
        <f t="shared" si="9"/>
        <v>8</v>
      </c>
      <c r="M97" s="12"/>
      <c r="N97" s="14">
        <v>6543</v>
      </c>
      <c r="O97" s="14">
        <v>6554</v>
      </c>
      <c r="P97" s="14">
        <f t="shared" si="10"/>
        <v>11</v>
      </c>
      <c r="Q97" s="12"/>
      <c r="R97" s="14">
        <v>6554</v>
      </c>
      <c r="S97" s="14">
        <v>6559</v>
      </c>
      <c r="T97" s="14">
        <f t="shared" si="11"/>
        <v>5</v>
      </c>
      <c r="U97" s="12"/>
    </row>
    <row r="98" spans="1:21" ht="20.100000000000001" customHeight="1" x14ac:dyDescent="0.25">
      <c r="A98" s="7">
        <f t="shared" si="7"/>
        <v>94</v>
      </c>
      <c r="B98" s="41" t="s">
        <v>434</v>
      </c>
      <c r="C98" s="13" t="s">
        <v>195</v>
      </c>
      <c r="D98" s="14" t="s">
        <v>196</v>
      </c>
      <c r="E98" s="13" t="s">
        <v>197</v>
      </c>
      <c r="F98" s="14">
        <v>4126</v>
      </c>
      <c r="G98" s="14">
        <v>4131</v>
      </c>
      <c r="H98" s="14">
        <f t="shared" si="8"/>
        <v>5</v>
      </c>
      <c r="I98" s="33"/>
      <c r="J98" s="14">
        <v>4131</v>
      </c>
      <c r="K98" s="14">
        <v>4134</v>
      </c>
      <c r="L98" s="14">
        <f t="shared" si="9"/>
        <v>3</v>
      </c>
      <c r="M98" s="33"/>
      <c r="N98" s="14">
        <v>4134</v>
      </c>
      <c r="O98" s="14">
        <v>4136</v>
      </c>
      <c r="P98" s="14">
        <f t="shared" si="10"/>
        <v>2</v>
      </c>
      <c r="Q98" s="33"/>
      <c r="R98" s="14">
        <v>4136</v>
      </c>
      <c r="S98" s="14">
        <v>4138</v>
      </c>
      <c r="T98" s="14">
        <f t="shared" si="11"/>
        <v>2</v>
      </c>
      <c r="U98" s="33"/>
    </row>
    <row r="99" spans="1:21" ht="20.100000000000001" customHeight="1" x14ac:dyDescent="0.25">
      <c r="A99" s="7">
        <f t="shared" si="7"/>
        <v>95</v>
      </c>
      <c r="B99" s="11" t="s">
        <v>198</v>
      </c>
      <c r="C99" s="13" t="s">
        <v>199</v>
      </c>
      <c r="D99" s="14" t="s">
        <v>196</v>
      </c>
      <c r="E99" s="13" t="s">
        <v>200</v>
      </c>
      <c r="F99" s="14">
        <v>3593</v>
      </c>
      <c r="G99" s="14">
        <v>3596</v>
      </c>
      <c r="H99" s="14">
        <f t="shared" si="8"/>
        <v>3</v>
      </c>
      <c r="I99" s="12"/>
      <c r="J99" s="14">
        <v>3596</v>
      </c>
      <c r="K99" s="14">
        <v>3597</v>
      </c>
      <c r="L99" s="14">
        <f t="shared" si="9"/>
        <v>1</v>
      </c>
      <c r="M99" s="12"/>
      <c r="N99" s="14">
        <v>3597</v>
      </c>
      <c r="O99" s="14">
        <v>3601</v>
      </c>
      <c r="P99" s="14">
        <f t="shared" si="10"/>
        <v>4</v>
      </c>
      <c r="Q99" s="12"/>
      <c r="R99" s="14">
        <v>3601</v>
      </c>
      <c r="S99" s="14">
        <v>3603</v>
      </c>
      <c r="T99" s="14">
        <f t="shared" si="11"/>
        <v>2</v>
      </c>
      <c r="U99" s="12"/>
    </row>
    <row r="100" spans="1:21" ht="20.100000000000001" customHeight="1" x14ac:dyDescent="0.25">
      <c r="A100" s="7">
        <f t="shared" si="7"/>
        <v>96</v>
      </c>
      <c r="B100" s="17" t="s">
        <v>201</v>
      </c>
      <c r="C100" s="18" t="s">
        <v>202</v>
      </c>
      <c r="D100" s="19" t="s">
        <v>196</v>
      </c>
      <c r="E100" s="18" t="s">
        <v>380</v>
      </c>
      <c r="F100" s="14">
        <v>6159</v>
      </c>
      <c r="G100" s="14">
        <v>6167</v>
      </c>
      <c r="H100" s="14">
        <f t="shared" si="8"/>
        <v>8</v>
      </c>
      <c r="I100" s="12"/>
      <c r="J100" s="14">
        <v>6167</v>
      </c>
      <c r="K100" s="14">
        <v>6175</v>
      </c>
      <c r="L100" s="14">
        <f t="shared" si="9"/>
        <v>8</v>
      </c>
      <c r="M100" s="12"/>
      <c r="N100" s="14">
        <v>6175</v>
      </c>
      <c r="O100" s="14">
        <v>6179</v>
      </c>
      <c r="P100" s="14">
        <f t="shared" si="10"/>
        <v>4</v>
      </c>
      <c r="Q100" s="12"/>
      <c r="R100" s="14">
        <v>6179</v>
      </c>
      <c r="S100" s="14">
        <v>6183</v>
      </c>
      <c r="T100" s="14">
        <f t="shared" si="11"/>
        <v>4</v>
      </c>
      <c r="U100" s="12"/>
    </row>
    <row r="101" spans="1:21" ht="20.100000000000001" customHeight="1" x14ac:dyDescent="0.25">
      <c r="A101" s="7">
        <f t="shared" si="7"/>
        <v>97</v>
      </c>
      <c r="B101" s="11" t="s">
        <v>203</v>
      </c>
      <c r="C101" s="13" t="s">
        <v>204</v>
      </c>
      <c r="D101" s="14" t="s">
        <v>205</v>
      </c>
      <c r="E101" s="13" t="s">
        <v>206</v>
      </c>
      <c r="F101" s="14">
        <v>24246</v>
      </c>
      <c r="G101" s="14">
        <v>24271</v>
      </c>
      <c r="H101" s="14">
        <f t="shared" si="8"/>
        <v>25</v>
      </c>
      <c r="I101" s="12"/>
      <c r="J101" s="14">
        <v>24271</v>
      </c>
      <c r="K101" s="14">
        <v>24278</v>
      </c>
      <c r="L101" s="14">
        <f t="shared" si="9"/>
        <v>7</v>
      </c>
      <c r="M101" s="12"/>
      <c r="N101" s="14">
        <v>24278</v>
      </c>
      <c r="O101" s="14">
        <v>24283</v>
      </c>
      <c r="P101" s="14">
        <f t="shared" si="10"/>
        <v>5</v>
      </c>
      <c r="Q101" s="12"/>
      <c r="R101" s="14">
        <v>24283</v>
      </c>
      <c r="S101" s="14">
        <v>24294</v>
      </c>
      <c r="T101" s="14">
        <f t="shared" si="11"/>
        <v>11</v>
      </c>
      <c r="U101" s="12"/>
    </row>
    <row r="102" spans="1:21" ht="20.100000000000001" customHeight="1" x14ac:dyDescent="0.25">
      <c r="A102" s="7">
        <f t="shared" si="7"/>
        <v>98</v>
      </c>
      <c r="B102" s="11" t="s">
        <v>207</v>
      </c>
      <c r="C102" s="13" t="s">
        <v>208</v>
      </c>
      <c r="D102" s="14" t="s">
        <v>205</v>
      </c>
      <c r="E102" s="13" t="s">
        <v>209</v>
      </c>
      <c r="F102" s="14">
        <v>19946</v>
      </c>
      <c r="G102" s="14">
        <v>19958</v>
      </c>
      <c r="H102" s="14">
        <f t="shared" si="8"/>
        <v>12</v>
      </c>
      <c r="I102" s="12"/>
      <c r="J102" s="14">
        <v>19958</v>
      </c>
      <c r="K102" s="14">
        <v>19958</v>
      </c>
      <c r="L102" s="14">
        <f t="shared" si="9"/>
        <v>0</v>
      </c>
      <c r="M102" s="12"/>
      <c r="N102" s="14">
        <v>19958</v>
      </c>
      <c r="O102" s="14">
        <v>19959</v>
      </c>
      <c r="P102" s="14">
        <f t="shared" si="10"/>
        <v>1</v>
      </c>
      <c r="Q102" s="12"/>
      <c r="R102" s="14">
        <v>19959</v>
      </c>
      <c r="S102" s="14">
        <v>19959</v>
      </c>
      <c r="T102" s="14">
        <f t="shared" si="11"/>
        <v>0</v>
      </c>
      <c r="U102" s="12"/>
    </row>
    <row r="103" spans="1:21" ht="20.100000000000001" customHeight="1" x14ac:dyDescent="0.25">
      <c r="A103" s="7">
        <f t="shared" si="7"/>
        <v>99</v>
      </c>
      <c r="B103" s="11" t="s">
        <v>210</v>
      </c>
      <c r="C103" s="13" t="s">
        <v>211</v>
      </c>
      <c r="D103" s="14" t="s">
        <v>212</v>
      </c>
      <c r="E103" s="29">
        <v>4600094</v>
      </c>
      <c r="F103" s="14">
        <v>14042</v>
      </c>
      <c r="G103" s="14">
        <v>14058</v>
      </c>
      <c r="H103" s="14">
        <f t="shared" si="8"/>
        <v>16</v>
      </c>
      <c r="I103" s="12"/>
      <c r="J103" s="14">
        <v>14058</v>
      </c>
      <c r="K103" s="14">
        <v>14058</v>
      </c>
      <c r="L103" s="14">
        <f t="shared" si="9"/>
        <v>0</v>
      </c>
      <c r="M103" s="12"/>
      <c r="N103" s="14">
        <v>14058</v>
      </c>
      <c r="O103" s="14">
        <v>14078</v>
      </c>
      <c r="P103" s="14">
        <f t="shared" si="10"/>
        <v>20</v>
      </c>
      <c r="Q103" s="12"/>
      <c r="R103" s="14">
        <v>14078</v>
      </c>
      <c r="S103" s="14">
        <v>14087</v>
      </c>
      <c r="T103" s="14">
        <f t="shared" si="11"/>
        <v>9</v>
      </c>
      <c r="U103" s="12"/>
    </row>
    <row r="104" spans="1:21" ht="20.100000000000001" customHeight="1" x14ac:dyDescent="0.25">
      <c r="A104" s="7">
        <f t="shared" si="7"/>
        <v>100</v>
      </c>
      <c r="B104" s="11" t="s">
        <v>213</v>
      </c>
      <c r="C104" s="13" t="s">
        <v>214</v>
      </c>
      <c r="D104" s="14" t="s">
        <v>212</v>
      </c>
      <c r="E104" s="29">
        <v>4600293</v>
      </c>
      <c r="F104" s="14">
        <v>18084</v>
      </c>
      <c r="G104" s="14">
        <v>18107</v>
      </c>
      <c r="H104" s="14">
        <f t="shared" si="8"/>
        <v>23</v>
      </c>
      <c r="I104" s="12"/>
      <c r="J104" s="14">
        <v>18107</v>
      </c>
      <c r="K104" s="14">
        <v>18107</v>
      </c>
      <c r="L104" s="14">
        <f t="shared" si="9"/>
        <v>0</v>
      </c>
      <c r="M104" s="12"/>
      <c r="N104" s="14">
        <v>18107</v>
      </c>
      <c r="O104" s="14">
        <v>18125</v>
      </c>
      <c r="P104" s="14">
        <f t="shared" si="10"/>
        <v>18</v>
      </c>
      <c r="Q104" s="12"/>
      <c r="R104" s="14">
        <v>18125</v>
      </c>
      <c r="S104" s="14">
        <v>18138</v>
      </c>
      <c r="T104" s="14">
        <f t="shared" si="11"/>
        <v>13</v>
      </c>
      <c r="U104" s="12"/>
    </row>
    <row r="105" spans="1:21" ht="20.100000000000001" customHeight="1" x14ac:dyDescent="0.25">
      <c r="A105" s="7">
        <f t="shared" si="7"/>
        <v>101</v>
      </c>
      <c r="B105" s="20" t="s">
        <v>215</v>
      </c>
      <c r="C105" s="13" t="s">
        <v>216</v>
      </c>
      <c r="D105" s="14" t="s">
        <v>217</v>
      </c>
      <c r="E105" s="13" t="s">
        <v>216</v>
      </c>
      <c r="F105" s="14">
        <v>432</v>
      </c>
      <c r="G105" s="14">
        <v>451</v>
      </c>
      <c r="H105" s="14">
        <f t="shared" si="8"/>
        <v>19</v>
      </c>
      <c r="I105" s="12"/>
      <c r="J105" s="14">
        <v>451</v>
      </c>
      <c r="K105" s="14">
        <v>461</v>
      </c>
      <c r="L105" s="14">
        <f t="shared" si="9"/>
        <v>10</v>
      </c>
      <c r="M105" s="12"/>
      <c r="N105" s="14">
        <v>461</v>
      </c>
      <c r="O105" s="14">
        <v>473</v>
      </c>
      <c r="P105" s="14">
        <f t="shared" si="10"/>
        <v>12</v>
      </c>
      <c r="Q105" s="12"/>
      <c r="R105" s="14">
        <v>473</v>
      </c>
      <c r="S105" s="14">
        <v>485</v>
      </c>
      <c r="T105" s="14">
        <f t="shared" si="11"/>
        <v>12</v>
      </c>
      <c r="U105" s="12"/>
    </row>
    <row r="106" spans="1:21" ht="20.100000000000001" customHeight="1" x14ac:dyDescent="0.25">
      <c r="A106" s="7">
        <f t="shared" si="7"/>
        <v>102</v>
      </c>
      <c r="B106" s="11" t="s">
        <v>218</v>
      </c>
      <c r="C106" s="13" t="s">
        <v>219</v>
      </c>
      <c r="D106" s="14" t="s">
        <v>220</v>
      </c>
      <c r="E106" s="13" t="s">
        <v>221</v>
      </c>
      <c r="F106" s="14">
        <v>9070</v>
      </c>
      <c r="G106" s="14">
        <v>9077</v>
      </c>
      <c r="H106" s="14">
        <f t="shared" si="8"/>
        <v>7</v>
      </c>
      <c r="I106" s="28"/>
      <c r="J106" s="14">
        <v>9077</v>
      </c>
      <c r="K106" s="14">
        <v>9087</v>
      </c>
      <c r="L106" s="14">
        <f t="shared" si="9"/>
        <v>10</v>
      </c>
      <c r="M106" s="28"/>
      <c r="N106" s="14">
        <v>9087</v>
      </c>
      <c r="O106" s="14">
        <v>9100</v>
      </c>
      <c r="P106" s="14">
        <f t="shared" si="10"/>
        <v>13</v>
      </c>
      <c r="Q106" s="28"/>
      <c r="R106" s="14">
        <v>9100</v>
      </c>
      <c r="S106" s="14">
        <v>9110</v>
      </c>
      <c r="T106" s="14">
        <f t="shared" si="11"/>
        <v>10</v>
      </c>
      <c r="U106" s="28"/>
    </row>
    <row r="107" spans="1:21" ht="20.100000000000001" customHeight="1" x14ac:dyDescent="0.25">
      <c r="A107" s="7">
        <f t="shared" si="7"/>
        <v>103</v>
      </c>
      <c r="B107" s="17" t="s">
        <v>222</v>
      </c>
      <c r="C107" s="18" t="s">
        <v>223</v>
      </c>
      <c r="D107" s="19" t="s">
        <v>220</v>
      </c>
      <c r="E107" s="18" t="s">
        <v>223</v>
      </c>
      <c r="F107" s="14">
        <v>5023</v>
      </c>
      <c r="G107" s="14">
        <v>5037</v>
      </c>
      <c r="H107" s="14">
        <f t="shared" si="8"/>
        <v>14</v>
      </c>
      <c r="I107" s="12"/>
      <c r="J107" s="14">
        <v>5037</v>
      </c>
      <c r="K107" s="14">
        <v>5043</v>
      </c>
      <c r="L107" s="14">
        <f t="shared" si="9"/>
        <v>6</v>
      </c>
      <c r="M107" s="12"/>
      <c r="N107" s="14">
        <v>5043</v>
      </c>
      <c r="O107" s="14">
        <v>5052</v>
      </c>
      <c r="P107" s="14">
        <f t="shared" si="10"/>
        <v>9</v>
      </c>
      <c r="Q107" s="12"/>
      <c r="R107" s="14">
        <v>5052</v>
      </c>
      <c r="S107" s="14">
        <v>5056</v>
      </c>
      <c r="T107" s="14">
        <f t="shared" si="11"/>
        <v>4</v>
      </c>
      <c r="U107" s="12"/>
    </row>
    <row r="108" spans="1:21" ht="20.100000000000001" customHeight="1" x14ac:dyDescent="0.25">
      <c r="A108" s="7">
        <f t="shared" si="7"/>
        <v>104</v>
      </c>
      <c r="B108" s="11" t="s">
        <v>224</v>
      </c>
      <c r="C108" s="13" t="s">
        <v>225</v>
      </c>
      <c r="D108" s="14" t="s">
        <v>220</v>
      </c>
      <c r="E108" s="13" t="s">
        <v>225</v>
      </c>
      <c r="F108" s="14">
        <v>7863</v>
      </c>
      <c r="G108" s="14">
        <v>7871</v>
      </c>
      <c r="H108" s="14">
        <f t="shared" si="8"/>
        <v>8</v>
      </c>
      <c r="I108" s="12"/>
      <c r="J108" s="14">
        <v>7871</v>
      </c>
      <c r="K108" s="14">
        <v>7878</v>
      </c>
      <c r="L108" s="14">
        <f t="shared" si="9"/>
        <v>7</v>
      </c>
      <c r="M108" s="12"/>
      <c r="N108" s="14">
        <v>7878</v>
      </c>
      <c r="O108" s="14">
        <v>7886</v>
      </c>
      <c r="P108" s="14">
        <f t="shared" si="10"/>
        <v>8</v>
      </c>
      <c r="Q108" s="12"/>
      <c r="R108" s="14">
        <v>7886</v>
      </c>
      <c r="S108" s="14">
        <v>7888</v>
      </c>
      <c r="T108" s="14">
        <f t="shared" si="11"/>
        <v>2</v>
      </c>
      <c r="U108" s="12"/>
    </row>
    <row r="109" spans="1:21" ht="20.100000000000001" customHeight="1" x14ac:dyDescent="0.25">
      <c r="A109" s="7">
        <f t="shared" si="7"/>
        <v>105</v>
      </c>
      <c r="B109" s="11" t="s">
        <v>226</v>
      </c>
      <c r="C109" s="13" t="s">
        <v>227</v>
      </c>
      <c r="D109" s="14" t="s">
        <v>220</v>
      </c>
      <c r="E109" s="13" t="s">
        <v>227</v>
      </c>
      <c r="F109" s="14">
        <v>6766</v>
      </c>
      <c r="G109" s="14">
        <v>6772</v>
      </c>
      <c r="H109" s="14">
        <f t="shared" si="8"/>
        <v>6</v>
      </c>
      <c r="I109" s="12"/>
      <c r="J109" s="14">
        <v>6772</v>
      </c>
      <c r="K109" s="14">
        <v>6778</v>
      </c>
      <c r="L109" s="14">
        <f t="shared" si="9"/>
        <v>6</v>
      </c>
      <c r="M109" s="12"/>
      <c r="N109" s="14">
        <v>6778</v>
      </c>
      <c r="O109" s="14">
        <v>6786</v>
      </c>
      <c r="P109" s="14">
        <f t="shared" si="10"/>
        <v>8</v>
      </c>
      <c r="Q109" s="12"/>
      <c r="R109" s="14">
        <v>6786</v>
      </c>
      <c r="S109" s="14">
        <v>6800</v>
      </c>
      <c r="T109" s="14">
        <f t="shared" si="11"/>
        <v>14</v>
      </c>
      <c r="U109" s="12"/>
    </row>
    <row r="110" spans="1:21" ht="20.100000000000001" customHeight="1" x14ac:dyDescent="0.25">
      <c r="A110" s="7">
        <f t="shared" si="7"/>
        <v>106</v>
      </c>
      <c r="B110" s="11" t="s">
        <v>228</v>
      </c>
      <c r="C110" s="13" t="s">
        <v>229</v>
      </c>
      <c r="D110" s="14" t="s">
        <v>220</v>
      </c>
      <c r="E110" s="13" t="s">
        <v>229</v>
      </c>
      <c r="F110" s="14">
        <v>4389</v>
      </c>
      <c r="G110" s="14">
        <v>4407</v>
      </c>
      <c r="H110" s="14">
        <f t="shared" si="8"/>
        <v>18</v>
      </c>
      <c r="I110" s="12"/>
      <c r="J110" s="14">
        <v>4407</v>
      </c>
      <c r="K110" s="14">
        <v>4418</v>
      </c>
      <c r="L110" s="14">
        <f t="shared" si="9"/>
        <v>11</v>
      </c>
      <c r="M110" s="12"/>
      <c r="N110" s="14">
        <v>4418</v>
      </c>
      <c r="O110" s="14">
        <v>4432</v>
      </c>
      <c r="P110" s="14">
        <f t="shared" si="10"/>
        <v>14</v>
      </c>
      <c r="Q110" s="12"/>
      <c r="R110" s="14">
        <v>4432</v>
      </c>
      <c r="S110" s="14">
        <v>4446</v>
      </c>
      <c r="T110" s="14">
        <f t="shared" si="11"/>
        <v>14</v>
      </c>
      <c r="U110" s="12"/>
    </row>
    <row r="111" spans="1:21" ht="20.100000000000001" customHeight="1" x14ac:dyDescent="0.25">
      <c r="A111" s="7">
        <f t="shared" si="7"/>
        <v>107</v>
      </c>
      <c r="B111" s="11" t="s">
        <v>230</v>
      </c>
      <c r="C111" s="13" t="s">
        <v>231</v>
      </c>
      <c r="D111" s="14" t="s">
        <v>220</v>
      </c>
      <c r="E111" s="13" t="s">
        <v>231</v>
      </c>
      <c r="F111" s="14">
        <v>3965</v>
      </c>
      <c r="G111" s="14">
        <v>3977</v>
      </c>
      <c r="H111" s="14">
        <f t="shared" si="8"/>
        <v>12</v>
      </c>
      <c r="I111" s="10"/>
      <c r="J111" s="14">
        <v>3977</v>
      </c>
      <c r="K111" s="14">
        <v>3985</v>
      </c>
      <c r="L111" s="14">
        <f t="shared" si="9"/>
        <v>8</v>
      </c>
      <c r="M111" s="10"/>
      <c r="N111" s="14">
        <v>3985</v>
      </c>
      <c r="O111" s="14">
        <v>3997</v>
      </c>
      <c r="P111" s="14">
        <f t="shared" si="10"/>
        <v>12</v>
      </c>
      <c r="Q111" s="10"/>
      <c r="R111" s="14">
        <v>3997</v>
      </c>
      <c r="S111" s="14">
        <v>4002</v>
      </c>
      <c r="T111" s="14">
        <f t="shared" si="11"/>
        <v>5</v>
      </c>
      <c r="U111" s="10"/>
    </row>
    <row r="112" spans="1:21" ht="20.100000000000001" customHeight="1" x14ac:dyDescent="0.25">
      <c r="A112" s="7">
        <f t="shared" si="7"/>
        <v>108</v>
      </c>
      <c r="B112" s="11" t="s">
        <v>232</v>
      </c>
      <c r="C112" s="13" t="s">
        <v>233</v>
      </c>
      <c r="D112" s="14" t="s">
        <v>220</v>
      </c>
      <c r="E112" s="13" t="s">
        <v>233</v>
      </c>
      <c r="F112" s="14">
        <v>4474</v>
      </c>
      <c r="G112" s="14">
        <v>4498</v>
      </c>
      <c r="H112" s="14">
        <f t="shared" si="8"/>
        <v>24</v>
      </c>
      <c r="I112" s="12"/>
      <c r="J112" s="14">
        <v>4498</v>
      </c>
      <c r="K112" s="14">
        <v>4512</v>
      </c>
      <c r="L112" s="14">
        <f t="shared" si="9"/>
        <v>14</v>
      </c>
      <c r="M112" s="12"/>
      <c r="N112" s="14">
        <v>4512</v>
      </c>
      <c r="O112" s="14">
        <v>4522</v>
      </c>
      <c r="P112" s="14">
        <f t="shared" si="10"/>
        <v>10</v>
      </c>
      <c r="Q112" s="12"/>
      <c r="R112" s="14">
        <v>4522</v>
      </c>
      <c r="S112" s="14">
        <v>4535</v>
      </c>
      <c r="T112" s="14">
        <f t="shared" si="11"/>
        <v>13</v>
      </c>
      <c r="U112" s="12"/>
    </row>
    <row r="113" spans="1:21" ht="20.100000000000001" customHeight="1" x14ac:dyDescent="0.25">
      <c r="A113" s="7">
        <f t="shared" si="7"/>
        <v>109</v>
      </c>
      <c r="B113" s="20" t="s">
        <v>234</v>
      </c>
      <c r="C113" s="13" t="s">
        <v>235</v>
      </c>
      <c r="D113" s="14" t="s">
        <v>236</v>
      </c>
      <c r="E113" s="13" t="s">
        <v>237</v>
      </c>
      <c r="F113" s="14">
        <v>15275</v>
      </c>
      <c r="G113" s="14">
        <v>15295</v>
      </c>
      <c r="H113" s="14">
        <f t="shared" si="8"/>
        <v>20</v>
      </c>
      <c r="I113" s="12"/>
      <c r="J113" s="14">
        <v>15295</v>
      </c>
      <c r="K113" s="14">
        <v>15295</v>
      </c>
      <c r="L113" s="14">
        <f t="shared" si="9"/>
        <v>0</v>
      </c>
      <c r="M113" s="12"/>
      <c r="N113" s="14">
        <v>15295</v>
      </c>
      <c r="O113" s="14">
        <v>15310</v>
      </c>
      <c r="P113" s="14">
        <f t="shared" si="10"/>
        <v>15</v>
      </c>
      <c r="Q113" s="12"/>
      <c r="R113" s="14">
        <v>15310</v>
      </c>
      <c r="S113" s="14">
        <v>15315</v>
      </c>
      <c r="T113" s="14">
        <f t="shared" si="11"/>
        <v>5</v>
      </c>
      <c r="U113" s="12"/>
    </row>
    <row r="114" spans="1:21" ht="20.100000000000001" customHeight="1" x14ac:dyDescent="0.25">
      <c r="A114" s="7">
        <f t="shared" si="7"/>
        <v>110</v>
      </c>
      <c r="B114" s="20" t="s">
        <v>238</v>
      </c>
      <c r="C114" s="13" t="s">
        <v>239</v>
      </c>
      <c r="D114" s="14" t="s">
        <v>240</v>
      </c>
      <c r="E114" s="13" t="s">
        <v>241</v>
      </c>
      <c r="F114" s="14">
        <v>8099</v>
      </c>
      <c r="G114" s="14">
        <v>8099</v>
      </c>
      <c r="H114" s="14">
        <f t="shared" si="8"/>
        <v>0</v>
      </c>
      <c r="I114" s="12"/>
      <c r="J114" s="14">
        <v>8099</v>
      </c>
      <c r="K114" s="14">
        <v>8099</v>
      </c>
      <c r="L114" s="14">
        <f t="shared" si="9"/>
        <v>0</v>
      </c>
      <c r="M114" s="12"/>
      <c r="N114" s="14">
        <v>8099</v>
      </c>
      <c r="O114" s="14">
        <v>8099</v>
      </c>
      <c r="P114" s="14">
        <f t="shared" si="10"/>
        <v>0</v>
      </c>
      <c r="Q114" s="12"/>
      <c r="R114" s="14">
        <v>8099</v>
      </c>
      <c r="S114" s="14">
        <v>8099</v>
      </c>
      <c r="T114" s="14">
        <f t="shared" si="11"/>
        <v>0</v>
      </c>
      <c r="U114" s="12"/>
    </row>
    <row r="115" spans="1:21" ht="20.100000000000001" customHeight="1" x14ac:dyDescent="0.25">
      <c r="A115" s="7">
        <f t="shared" si="7"/>
        <v>111</v>
      </c>
      <c r="B115" s="11" t="s">
        <v>242</v>
      </c>
      <c r="C115" s="13" t="s">
        <v>243</v>
      </c>
      <c r="D115" s="14" t="s">
        <v>244</v>
      </c>
      <c r="E115" s="13" t="s">
        <v>245</v>
      </c>
      <c r="F115" s="14">
        <v>3539</v>
      </c>
      <c r="G115" s="14">
        <v>3539</v>
      </c>
      <c r="H115" s="14">
        <f t="shared" si="8"/>
        <v>0</v>
      </c>
      <c r="I115" s="12"/>
      <c r="J115" s="14">
        <v>3539</v>
      </c>
      <c r="K115" s="14">
        <v>3539</v>
      </c>
      <c r="L115" s="14">
        <f t="shared" si="9"/>
        <v>0</v>
      </c>
      <c r="M115" s="12"/>
      <c r="N115" s="14">
        <v>3539</v>
      </c>
      <c r="O115" s="14">
        <v>3539</v>
      </c>
      <c r="P115" s="14">
        <f t="shared" si="10"/>
        <v>0</v>
      </c>
      <c r="Q115" s="12"/>
      <c r="R115" s="14">
        <v>3539</v>
      </c>
      <c r="S115" s="14">
        <v>3539</v>
      </c>
      <c r="T115" s="14">
        <f t="shared" si="11"/>
        <v>0</v>
      </c>
      <c r="U115" s="12"/>
    </row>
    <row r="116" spans="1:21" ht="20.100000000000001" customHeight="1" x14ac:dyDescent="0.25">
      <c r="A116" s="7">
        <f t="shared" si="7"/>
        <v>112</v>
      </c>
      <c r="B116" s="11" t="s">
        <v>242</v>
      </c>
      <c r="C116" s="13" t="s">
        <v>246</v>
      </c>
      <c r="D116" s="14">
        <v>1024</v>
      </c>
      <c r="E116" s="13" t="s">
        <v>247</v>
      </c>
      <c r="F116" s="14">
        <v>1214</v>
      </c>
      <c r="G116" s="14">
        <v>1214</v>
      </c>
      <c r="H116" s="14">
        <f t="shared" si="8"/>
        <v>0</v>
      </c>
      <c r="I116" s="12"/>
      <c r="J116" s="14">
        <v>1214</v>
      </c>
      <c r="K116" s="14">
        <v>1214</v>
      </c>
      <c r="L116" s="14">
        <f t="shared" si="9"/>
        <v>0</v>
      </c>
      <c r="M116" s="12"/>
      <c r="N116" s="14">
        <v>1214</v>
      </c>
      <c r="O116" s="14">
        <v>1216</v>
      </c>
      <c r="P116" s="14">
        <f t="shared" si="10"/>
        <v>2</v>
      </c>
      <c r="Q116" s="12"/>
      <c r="R116" s="14">
        <v>1216</v>
      </c>
      <c r="S116" s="14">
        <v>1216</v>
      </c>
      <c r="T116" s="14">
        <f t="shared" si="11"/>
        <v>0</v>
      </c>
      <c r="U116" s="12"/>
    </row>
    <row r="117" spans="1:21" ht="20.100000000000001" customHeight="1" x14ac:dyDescent="0.25">
      <c r="A117" s="7">
        <f t="shared" si="7"/>
        <v>113</v>
      </c>
      <c r="B117" s="11" t="s">
        <v>248</v>
      </c>
      <c r="C117" s="13" t="s">
        <v>249</v>
      </c>
      <c r="D117" s="14" t="s">
        <v>244</v>
      </c>
      <c r="E117" s="13" t="s">
        <v>250</v>
      </c>
      <c r="F117" s="14">
        <v>5569</v>
      </c>
      <c r="G117" s="14">
        <v>5584</v>
      </c>
      <c r="H117" s="14">
        <f t="shared" si="8"/>
        <v>15</v>
      </c>
      <c r="I117" s="12"/>
      <c r="J117" s="14">
        <v>5584</v>
      </c>
      <c r="K117" s="14">
        <v>5584</v>
      </c>
      <c r="L117" s="14">
        <f t="shared" si="9"/>
        <v>0</v>
      </c>
      <c r="M117" s="12"/>
      <c r="N117" s="14">
        <v>5584</v>
      </c>
      <c r="O117" s="14">
        <v>5584</v>
      </c>
      <c r="P117" s="14">
        <f t="shared" si="10"/>
        <v>0</v>
      </c>
      <c r="Q117" s="12"/>
      <c r="R117" s="14">
        <v>5584</v>
      </c>
      <c r="S117" s="14">
        <v>5593</v>
      </c>
      <c r="T117" s="14">
        <f t="shared" si="11"/>
        <v>9</v>
      </c>
      <c r="U117" s="12"/>
    </row>
    <row r="118" spans="1:21" ht="20.100000000000001" customHeight="1" x14ac:dyDescent="0.25">
      <c r="A118" s="7">
        <f t="shared" si="7"/>
        <v>114</v>
      </c>
      <c r="B118" s="11" t="s">
        <v>251</v>
      </c>
      <c r="C118" s="13" t="s">
        <v>252</v>
      </c>
      <c r="D118" s="14" t="s">
        <v>244</v>
      </c>
      <c r="E118" s="13" t="s">
        <v>253</v>
      </c>
      <c r="F118" s="14">
        <v>474</v>
      </c>
      <c r="G118" s="14">
        <v>474</v>
      </c>
      <c r="H118" s="14">
        <f t="shared" si="8"/>
        <v>0</v>
      </c>
      <c r="I118" s="12"/>
      <c r="J118" s="14">
        <v>474</v>
      </c>
      <c r="K118" s="14">
        <v>474</v>
      </c>
      <c r="L118" s="14">
        <f t="shared" si="9"/>
        <v>0</v>
      </c>
      <c r="M118" s="12"/>
      <c r="N118" s="14">
        <v>474</v>
      </c>
      <c r="O118" s="14">
        <v>474</v>
      </c>
      <c r="P118" s="14">
        <f t="shared" si="10"/>
        <v>0</v>
      </c>
      <c r="Q118" s="12"/>
      <c r="R118" s="14">
        <v>474</v>
      </c>
      <c r="S118" s="14">
        <v>474</v>
      </c>
      <c r="T118" s="14">
        <f t="shared" si="11"/>
        <v>0</v>
      </c>
      <c r="U118" s="12"/>
    </row>
    <row r="119" spans="1:21" ht="20.100000000000001" customHeight="1" x14ac:dyDescent="0.25">
      <c r="A119" s="7">
        <f t="shared" si="7"/>
        <v>115</v>
      </c>
      <c r="B119" s="17" t="s">
        <v>254</v>
      </c>
      <c r="C119" s="18" t="s">
        <v>255</v>
      </c>
      <c r="D119" s="19">
        <v>1024</v>
      </c>
      <c r="E119" s="18" t="s">
        <v>256</v>
      </c>
      <c r="F119" s="14">
        <v>6431</v>
      </c>
      <c r="G119" s="14">
        <v>6440</v>
      </c>
      <c r="H119" s="14">
        <f t="shared" si="8"/>
        <v>9</v>
      </c>
      <c r="I119" s="12"/>
      <c r="J119" s="14">
        <v>6440</v>
      </c>
      <c r="K119" s="14">
        <v>6440</v>
      </c>
      <c r="L119" s="14">
        <f t="shared" si="9"/>
        <v>0</v>
      </c>
      <c r="M119" s="12"/>
      <c r="N119" s="14">
        <v>6440</v>
      </c>
      <c r="O119" s="14">
        <v>6440</v>
      </c>
      <c r="P119" s="14">
        <f t="shared" si="10"/>
        <v>0</v>
      </c>
      <c r="Q119" s="12"/>
      <c r="R119" s="14">
        <v>6440</v>
      </c>
      <c r="S119" s="14">
        <v>6442</v>
      </c>
      <c r="T119" s="14">
        <f t="shared" si="11"/>
        <v>2</v>
      </c>
      <c r="U119" s="12"/>
    </row>
    <row r="120" spans="1:21" ht="20.100000000000001" customHeight="1" x14ac:dyDescent="0.25">
      <c r="A120" s="7">
        <f t="shared" si="7"/>
        <v>116</v>
      </c>
      <c r="B120" s="17" t="s">
        <v>372</v>
      </c>
      <c r="C120" s="18" t="s">
        <v>373</v>
      </c>
      <c r="D120" s="19">
        <v>1024</v>
      </c>
      <c r="E120" s="18" t="s">
        <v>374</v>
      </c>
      <c r="F120" s="14">
        <v>8018</v>
      </c>
      <c r="G120" s="14">
        <v>8018</v>
      </c>
      <c r="H120" s="14">
        <f t="shared" si="8"/>
        <v>0</v>
      </c>
      <c r="I120" s="12"/>
      <c r="J120" s="14">
        <v>8018</v>
      </c>
      <c r="K120" s="14">
        <v>8018</v>
      </c>
      <c r="L120" s="14">
        <f t="shared" si="9"/>
        <v>0</v>
      </c>
      <c r="M120" s="12"/>
      <c r="N120" s="14">
        <v>8018</v>
      </c>
      <c r="O120" s="14">
        <v>8018</v>
      </c>
      <c r="P120" s="14">
        <f t="shared" si="10"/>
        <v>0</v>
      </c>
      <c r="Q120" s="12"/>
      <c r="R120" s="14">
        <v>8018</v>
      </c>
      <c r="S120" s="14">
        <v>8018</v>
      </c>
      <c r="T120" s="14">
        <f t="shared" si="11"/>
        <v>0</v>
      </c>
      <c r="U120" s="12"/>
    </row>
    <row r="121" spans="1:21" ht="20.100000000000001" customHeight="1" x14ac:dyDescent="0.25">
      <c r="A121" s="7">
        <f t="shared" si="7"/>
        <v>117</v>
      </c>
      <c r="B121" s="11" t="s">
        <v>257</v>
      </c>
      <c r="C121" s="13" t="s">
        <v>258</v>
      </c>
      <c r="D121" s="14" t="s">
        <v>244</v>
      </c>
      <c r="E121" s="13" t="s">
        <v>259</v>
      </c>
      <c r="F121" s="14">
        <v>4302</v>
      </c>
      <c r="G121" s="14">
        <v>4302</v>
      </c>
      <c r="H121" s="14">
        <f t="shared" si="8"/>
        <v>0</v>
      </c>
      <c r="I121" s="12"/>
      <c r="J121" s="14">
        <v>4302</v>
      </c>
      <c r="K121" s="14">
        <v>4306</v>
      </c>
      <c r="L121" s="14">
        <f t="shared" si="9"/>
        <v>4</v>
      </c>
      <c r="M121" s="12"/>
      <c r="N121" s="14">
        <v>4306</v>
      </c>
      <c r="O121" s="14">
        <v>4312</v>
      </c>
      <c r="P121" s="14">
        <f t="shared" si="10"/>
        <v>6</v>
      </c>
      <c r="Q121" s="12"/>
      <c r="R121" s="14">
        <v>4312</v>
      </c>
      <c r="S121" s="14">
        <v>4322</v>
      </c>
      <c r="T121" s="14">
        <f t="shared" si="11"/>
        <v>10</v>
      </c>
      <c r="U121" s="12"/>
    </row>
    <row r="122" spans="1:21" ht="20.100000000000001" customHeight="1" x14ac:dyDescent="0.25">
      <c r="A122" s="7">
        <f t="shared" si="7"/>
        <v>118</v>
      </c>
      <c r="B122" s="26" t="s">
        <v>375</v>
      </c>
      <c r="C122" s="13" t="s">
        <v>376</v>
      </c>
      <c r="D122" s="14">
        <v>1024</v>
      </c>
      <c r="E122" s="13" t="s">
        <v>377</v>
      </c>
      <c r="F122" s="14">
        <v>305</v>
      </c>
      <c r="G122" s="14">
        <v>305</v>
      </c>
      <c r="H122" s="14">
        <f t="shared" si="8"/>
        <v>0</v>
      </c>
      <c r="I122" s="12"/>
      <c r="J122" s="14">
        <v>305</v>
      </c>
      <c r="K122" s="14">
        <v>312</v>
      </c>
      <c r="L122" s="14">
        <f t="shared" si="9"/>
        <v>7</v>
      </c>
      <c r="M122" s="12"/>
      <c r="N122" s="14">
        <v>312</v>
      </c>
      <c r="O122" s="14">
        <v>319</v>
      </c>
      <c r="P122" s="14">
        <f t="shared" si="10"/>
        <v>7</v>
      </c>
      <c r="Q122" s="12"/>
      <c r="R122" s="14">
        <v>319</v>
      </c>
      <c r="S122" s="14">
        <v>323</v>
      </c>
      <c r="T122" s="14">
        <f t="shared" si="11"/>
        <v>4</v>
      </c>
      <c r="U122" s="12"/>
    </row>
    <row r="123" spans="1:21" ht="20.100000000000001" customHeight="1" x14ac:dyDescent="0.25">
      <c r="A123" s="7">
        <f t="shared" si="7"/>
        <v>119</v>
      </c>
      <c r="B123" s="8" t="s">
        <v>260</v>
      </c>
      <c r="C123" s="13" t="s">
        <v>261</v>
      </c>
      <c r="D123" s="14" t="s">
        <v>262</v>
      </c>
      <c r="E123" s="13" t="s">
        <v>263</v>
      </c>
      <c r="F123" s="14">
        <v>3560</v>
      </c>
      <c r="G123" s="14">
        <v>3560</v>
      </c>
      <c r="H123" s="14">
        <f t="shared" si="8"/>
        <v>0</v>
      </c>
      <c r="I123" s="12"/>
      <c r="J123" s="14">
        <v>3560</v>
      </c>
      <c r="K123" s="14">
        <v>3618</v>
      </c>
      <c r="L123" s="14">
        <f t="shared" si="9"/>
        <v>58</v>
      </c>
      <c r="M123" s="12"/>
      <c r="N123" s="14">
        <v>3618</v>
      </c>
      <c r="O123" s="14">
        <v>3630</v>
      </c>
      <c r="P123" s="14">
        <f t="shared" si="10"/>
        <v>12</v>
      </c>
      <c r="Q123" s="12"/>
      <c r="R123" s="14">
        <v>3630</v>
      </c>
      <c r="S123" s="14">
        <v>3630</v>
      </c>
      <c r="T123" s="14">
        <f t="shared" si="11"/>
        <v>0</v>
      </c>
      <c r="U123" s="12"/>
    </row>
    <row r="124" spans="1:21" ht="20.100000000000001" customHeight="1" x14ac:dyDescent="0.25">
      <c r="A124" s="7">
        <f t="shared" si="7"/>
        <v>120</v>
      </c>
      <c r="B124" s="8" t="s">
        <v>264</v>
      </c>
      <c r="C124" s="13" t="s">
        <v>378</v>
      </c>
      <c r="D124" s="14" t="s">
        <v>262</v>
      </c>
      <c r="E124" s="13" t="s">
        <v>265</v>
      </c>
      <c r="F124" s="14">
        <v>17658</v>
      </c>
      <c r="G124" s="14">
        <v>17704</v>
      </c>
      <c r="H124" s="14">
        <f t="shared" si="8"/>
        <v>46</v>
      </c>
      <c r="I124" s="12"/>
      <c r="J124" s="14">
        <v>17704</v>
      </c>
      <c r="K124" s="14">
        <v>17704</v>
      </c>
      <c r="L124" s="14">
        <f t="shared" si="9"/>
        <v>0</v>
      </c>
      <c r="M124" s="12"/>
      <c r="N124" s="14">
        <v>17704</v>
      </c>
      <c r="O124" s="14">
        <v>17731</v>
      </c>
      <c r="P124" s="14">
        <f t="shared" si="10"/>
        <v>27</v>
      </c>
      <c r="Q124" s="12"/>
      <c r="R124" s="14">
        <v>17731</v>
      </c>
      <c r="S124" s="14">
        <v>17733</v>
      </c>
      <c r="T124" s="14">
        <f t="shared" si="11"/>
        <v>2</v>
      </c>
      <c r="U124" s="12"/>
    </row>
    <row r="125" spans="1:21" ht="20.100000000000001" customHeight="1" x14ac:dyDescent="0.25">
      <c r="A125" s="7">
        <f t="shared" ref="A125:A169" si="12">A124+1</f>
        <v>121</v>
      </c>
      <c r="B125" s="8" t="s">
        <v>266</v>
      </c>
      <c r="C125" s="13" t="s">
        <v>267</v>
      </c>
      <c r="D125" s="14" t="s">
        <v>262</v>
      </c>
      <c r="E125" s="13" t="s">
        <v>268</v>
      </c>
      <c r="F125" s="14">
        <v>13183</v>
      </c>
      <c r="G125" s="14">
        <v>13183</v>
      </c>
      <c r="H125" s="14">
        <f t="shared" si="8"/>
        <v>0</v>
      </c>
      <c r="I125" s="12"/>
      <c r="J125" s="14">
        <v>13183</v>
      </c>
      <c r="K125" s="14">
        <v>13228</v>
      </c>
      <c r="L125" s="14">
        <f t="shared" si="9"/>
        <v>45</v>
      </c>
      <c r="M125" s="12"/>
      <c r="N125" s="14">
        <v>13228</v>
      </c>
      <c r="O125" s="14">
        <v>13251</v>
      </c>
      <c r="P125" s="14">
        <f t="shared" si="10"/>
        <v>23</v>
      </c>
      <c r="Q125" s="12"/>
      <c r="R125" s="14">
        <v>13251</v>
      </c>
      <c r="S125" s="14">
        <v>13275</v>
      </c>
      <c r="T125" s="14">
        <f t="shared" si="11"/>
        <v>24</v>
      </c>
      <c r="U125" s="12"/>
    </row>
    <row r="126" spans="1:21" ht="20.100000000000001" customHeight="1" x14ac:dyDescent="0.25">
      <c r="A126" s="7">
        <f t="shared" si="12"/>
        <v>122</v>
      </c>
      <c r="B126" s="23" t="s">
        <v>269</v>
      </c>
      <c r="C126" s="13" t="s">
        <v>267</v>
      </c>
      <c r="D126" s="14" t="s">
        <v>270</v>
      </c>
      <c r="E126" s="13" t="s">
        <v>271</v>
      </c>
      <c r="F126" s="14">
        <v>1119</v>
      </c>
      <c r="G126" s="14">
        <v>1119</v>
      </c>
      <c r="H126" s="14">
        <f t="shared" si="8"/>
        <v>0</v>
      </c>
      <c r="I126" s="12"/>
      <c r="J126" s="14">
        <v>1119</v>
      </c>
      <c r="K126" s="14">
        <v>1119</v>
      </c>
      <c r="L126" s="14">
        <f t="shared" si="9"/>
        <v>0</v>
      </c>
      <c r="M126" s="12"/>
      <c r="N126" s="14">
        <v>1119</v>
      </c>
      <c r="O126" s="14">
        <v>1119</v>
      </c>
      <c r="P126" s="14">
        <f t="shared" si="10"/>
        <v>0</v>
      </c>
      <c r="Q126" s="12"/>
      <c r="R126" s="14">
        <v>1119</v>
      </c>
      <c r="S126" s="14">
        <v>1119</v>
      </c>
      <c r="T126" s="14">
        <f t="shared" si="11"/>
        <v>0</v>
      </c>
      <c r="U126" s="12"/>
    </row>
    <row r="127" spans="1:21" ht="20.100000000000001" customHeight="1" x14ac:dyDescent="0.25">
      <c r="A127" s="7">
        <f t="shared" si="12"/>
        <v>123</v>
      </c>
      <c r="B127" s="11" t="s">
        <v>272</v>
      </c>
      <c r="C127" s="13" t="s">
        <v>273</v>
      </c>
      <c r="D127" s="14" t="s">
        <v>274</v>
      </c>
      <c r="E127" s="13" t="s">
        <v>275</v>
      </c>
      <c r="F127" s="14">
        <v>3442</v>
      </c>
      <c r="G127" s="14">
        <v>3458</v>
      </c>
      <c r="H127" s="14">
        <f t="shared" si="8"/>
        <v>16</v>
      </c>
      <c r="I127" s="12"/>
      <c r="J127" s="14">
        <v>3458</v>
      </c>
      <c r="K127" s="14">
        <v>3463</v>
      </c>
      <c r="L127" s="14">
        <f t="shared" si="9"/>
        <v>5</v>
      </c>
      <c r="M127" s="12"/>
      <c r="N127" s="14">
        <v>3463</v>
      </c>
      <c r="O127" s="14">
        <v>3463</v>
      </c>
      <c r="P127" s="14">
        <f t="shared" si="10"/>
        <v>0</v>
      </c>
      <c r="Q127" s="12"/>
      <c r="R127" s="14">
        <v>3463</v>
      </c>
      <c r="S127" s="14">
        <v>3464</v>
      </c>
      <c r="T127" s="14">
        <f t="shared" si="11"/>
        <v>1</v>
      </c>
      <c r="U127" s="12"/>
    </row>
    <row r="128" spans="1:21" ht="20.100000000000001" customHeight="1" x14ac:dyDescent="0.25">
      <c r="A128" s="7">
        <f t="shared" si="12"/>
        <v>124</v>
      </c>
      <c r="B128" s="17" t="s">
        <v>276</v>
      </c>
      <c r="C128" s="18" t="s">
        <v>277</v>
      </c>
      <c r="D128" s="19" t="s">
        <v>274</v>
      </c>
      <c r="E128" s="18" t="s">
        <v>277</v>
      </c>
      <c r="F128" s="14" t="s">
        <v>393</v>
      </c>
      <c r="G128" s="14" t="s">
        <v>404</v>
      </c>
      <c r="H128" s="14" t="e">
        <f t="shared" si="8"/>
        <v>#VALUE!</v>
      </c>
      <c r="I128" s="10"/>
      <c r="J128" s="14" t="s">
        <v>404</v>
      </c>
      <c r="K128" s="14" t="s">
        <v>414</v>
      </c>
      <c r="L128" s="14" t="e">
        <f t="shared" si="9"/>
        <v>#VALUE!</v>
      </c>
      <c r="M128" s="10"/>
      <c r="N128" s="14" t="s">
        <v>414</v>
      </c>
      <c r="O128" s="14" t="s">
        <v>423</v>
      </c>
      <c r="P128" s="14" t="e">
        <f t="shared" si="10"/>
        <v>#VALUE!</v>
      </c>
      <c r="Q128" s="10"/>
      <c r="R128" s="14" t="s">
        <v>423</v>
      </c>
      <c r="S128" s="14" t="s">
        <v>432</v>
      </c>
      <c r="T128" s="14" t="e">
        <f t="shared" si="11"/>
        <v>#VALUE!</v>
      </c>
      <c r="U128" s="10"/>
    </row>
    <row r="129" spans="1:21" ht="20.100000000000001" customHeight="1" x14ac:dyDescent="0.25">
      <c r="A129" s="7">
        <f t="shared" si="12"/>
        <v>125</v>
      </c>
      <c r="B129" s="20" t="s">
        <v>278</v>
      </c>
      <c r="C129" s="13" t="s">
        <v>279</v>
      </c>
      <c r="D129" s="14" t="s">
        <v>274</v>
      </c>
      <c r="E129" s="13" t="s">
        <v>279</v>
      </c>
      <c r="F129" s="14" t="s">
        <v>388</v>
      </c>
      <c r="G129" s="14" t="s">
        <v>397</v>
      </c>
      <c r="H129" s="14" t="e">
        <f t="shared" si="8"/>
        <v>#VALUE!</v>
      </c>
      <c r="I129" s="12"/>
      <c r="J129" s="14" t="s">
        <v>397</v>
      </c>
      <c r="K129" s="14" t="s">
        <v>407</v>
      </c>
      <c r="L129" s="14" t="e">
        <f t="shared" si="9"/>
        <v>#VALUE!</v>
      </c>
      <c r="M129" s="12"/>
      <c r="N129" s="14" t="s">
        <v>407</v>
      </c>
      <c r="O129" s="14" t="s">
        <v>417</v>
      </c>
      <c r="P129" s="14" t="e">
        <f t="shared" si="10"/>
        <v>#VALUE!</v>
      </c>
      <c r="Q129" s="12"/>
      <c r="R129" s="14" t="s">
        <v>417</v>
      </c>
      <c r="S129" s="14" t="s">
        <v>427</v>
      </c>
      <c r="T129" s="14" t="e">
        <f t="shared" si="11"/>
        <v>#VALUE!</v>
      </c>
      <c r="U129" s="12"/>
    </row>
    <row r="130" spans="1:21" ht="20.100000000000001" customHeight="1" x14ac:dyDescent="0.25">
      <c r="A130" s="7">
        <f t="shared" si="12"/>
        <v>126</v>
      </c>
      <c r="B130" s="20" t="s">
        <v>280</v>
      </c>
      <c r="C130" s="13" t="s">
        <v>281</v>
      </c>
      <c r="D130" s="14" t="s">
        <v>274</v>
      </c>
      <c r="E130" s="13" t="s">
        <v>281</v>
      </c>
      <c r="F130" s="14" t="s">
        <v>387</v>
      </c>
      <c r="G130" s="14" t="s">
        <v>387</v>
      </c>
      <c r="H130" s="14" t="e">
        <f t="shared" si="8"/>
        <v>#VALUE!</v>
      </c>
      <c r="I130" s="28"/>
      <c r="J130" s="14" t="s">
        <v>387</v>
      </c>
      <c r="K130" s="14" t="s">
        <v>408</v>
      </c>
      <c r="L130" s="14" t="e">
        <f t="shared" si="9"/>
        <v>#VALUE!</v>
      </c>
      <c r="M130" s="28"/>
      <c r="N130" s="14" t="s">
        <v>408</v>
      </c>
      <c r="O130" s="14" t="s">
        <v>416</v>
      </c>
      <c r="P130" s="14" t="e">
        <f t="shared" si="10"/>
        <v>#VALUE!</v>
      </c>
      <c r="Q130" s="28"/>
      <c r="R130" s="14" t="s">
        <v>416</v>
      </c>
      <c r="S130" s="14" t="s">
        <v>426</v>
      </c>
      <c r="T130" s="14" t="e">
        <f t="shared" si="11"/>
        <v>#VALUE!</v>
      </c>
      <c r="U130" s="28"/>
    </row>
    <row r="131" spans="1:21" ht="20.100000000000001" customHeight="1" x14ac:dyDescent="0.25">
      <c r="A131" s="7">
        <f t="shared" si="12"/>
        <v>127</v>
      </c>
      <c r="B131" s="20" t="s">
        <v>282</v>
      </c>
      <c r="C131" s="13" t="s">
        <v>283</v>
      </c>
      <c r="D131" s="14" t="s">
        <v>274</v>
      </c>
      <c r="E131" s="13" t="s">
        <v>283</v>
      </c>
      <c r="F131" s="14" t="s">
        <v>394</v>
      </c>
      <c r="G131" s="14" t="s">
        <v>401</v>
      </c>
      <c r="H131" s="14" t="e">
        <f t="shared" ref="H131:H169" si="13">G131-F131</f>
        <v>#VALUE!</v>
      </c>
      <c r="I131" s="33"/>
      <c r="J131" s="14" t="s">
        <v>401</v>
      </c>
      <c r="K131" s="14" t="s">
        <v>411</v>
      </c>
      <c r="L131" s="14" t="e">
        <f t="shared" si="9"/>
        <v>#VALUE!</v>
      </c>
      <c r="M131" s="33"/>
      <c r="N131" s="14" t="s">
        <v>411</v>
      </c>
      <c r="O131" s="14" t="s">
        <v>420</v>
      </c>
      <c r="P131" s="14" t="e">
        <f t="shared" si="10"/>
        <v>#VALUE!</v>
      </c>
      <c r="Q131" s="33"/>
      <c r="R131" s="14" t="s">
        <v>420</v>
      </c>
      <c r="S131" s="14" t="s">
        <v>430</v>
      </c>
      <c r="T131" s="14" t="e">
        <f t="shared" si="11"/>
        <v>#VALUE!</v>
      </c>
      <c r="U131" s="33"/>
    </row>
    <row r="132" spans="1:21" ht="20.100000000000001" customHeight="1" x14ac:dyDescent="0.25">
      <c r="A132" s="7">
        <f t="shared" si="12"/>
        <v>128</v>
      </c>
      <c r="B132" s="17" t="s">
        <v>284</v>
      </c>
      <c r="C132" s="18" t="s">
        <v>285</v>
      </c>
      <c r="D132" s="19" t="s">
        <v>274</v>
      </c>
      <c r="E132" s="18" t="s">
        <v>285</v>
      </c>
      <c r="F132" s="14" t="s">
        <v>391</v>
      </c>
      <c r="G132" s="14" t="s">
        <v>402</v>
      </c>
      <c r="H132" s="14" t="e">
        <f t="shared" si="13"/>
        <v>#VALUE!</v>
      </c>
      <c r="I132" s="12"/>
      <c r="J132" s="14" t="s">
        <v>402</v>
      </c>
      <c r="K132" s="14" t="s">
        <v>412</v>
      </c>
      <c r="L132" s="14" t="e">
        <f t="shared" si="9"/>
        <v>#VALUE!</v>
      </c>
      <c r="M132" s="12"/>
      <c r="N132" s="14" t="s">
        <v>412</v>
      </c>
      <c r="O132" s="14" t="s">
        <v>421</v>
      </c>
      <c r="P132" s="14" t="e">
        <f t="shared" si="10"/>
        <v>#VALUE!</v>
      </c>
      <c r="Q132" s="12"/>
      <c r="R132" s="14" t="s">
        <v>421</v>
      </c>
      <c r="S132" s="14" t="s">
        <v>431</v>
      </c>
      <c r="T132" s="14" t="e">
        <f t="shared" si="11"/>
        <v>#VALUE!</v>
      </c>
      <c r="U132" s="12"/>
    </row>
    <row r="133" spans="1:21" ht="20.100000000000001" customHeight="1" x14ac:dyDescent="0.25">
      <c r="A133" s="7">
        <f t="shared" si="12"/>
        <v>129</v>
      </c>
      <c r="B133" s="20" t="s">
        <v>286</v>
      </c>
      <c r="C133" s="13" t="s">
        <v>287</v>
      </c>
      <c r="D133" s="14" t="s">
        <v>274</v>
      </c>
      <c r="E133" s="13" t="s">
        <v>287</v>
      </c>
      <c r="F133" s="14" t="s">
        <v>390</v>
      </c>
      <c r="G133" s="14" t="s">
        <v>400</v>
      </c>
      <c r="H133" s="14" t="e">
        <f t="shared" si="13"/>
        <v>#VALUE!</v>
      </c>
      <c r="I133" s="12"/>
      <c r="J133" s="14" t="s">
        <v>400</v>
      </c>
      <c r="K133" s="14" t="s">
        <v>410</v>
      </c>
      <c r="L133" s="14" t="e">
        <f t="shared" si="9"/>
        <v>#VALUE!</v>
      </c>
      <c r="M133" s="12"/>
      <c r="N133" s="14" t="s">
        <v>410</v>
      </c>
      <c r="O133" s="14" t="s">
        <v>419</v>
      </c>
      <c r="P133" s="14" t="e">
        <f t="shared" si="10"/>
        <v>#VALUE!</v>
      </c>
      <c r="Q133" s="12"/>
      <c r="R133" s="14" t="s">
        <v>419</v>
      </c>
      <c r="S133" s="14" t="s">
        <v>429</v>
      </c>
      <c r="T133" s="14" t="e">
        <f t="shared" si="11"/>
        <v>#VALUE!</v>
      </c>
      <c r="U133" s="12"/>
    </row>
    <row r="134" spans="1:21" ht="20.100000000000001" customHeight="1" x14ac:dyDescent="0.25">
      <c r="A134" s="7">
        <f t="shared" si="12"/>
        <v>130</v>
      </c>
      <c r="B134" s="20" t="s">
        <v>288</v>
      </c>
      <c r="C134" s="13" t="s">
        <v>289</v>
      </c>
      <c r="D134" s="14" t="s">
        <v>274</v>
      </c>
      <c r="E134" s="13" t="s">
        <v>289</v>
      </c>
      <c r="F134" s="14" t="s">
        <v>389</v>
      </c>
      <c r="G134" s="14" t="s">
        <v>398</v>
      </c>
      <c r="H134" s="14" t="e">
        <f t="shared" si="13"/>
        <v>#VALUE!</v>
      </c>
      <c r="I134" s="12"/>
      <c r="J134" s="14" t="s">
        <v>398</v>
      </c>
      <c r="K134" s="14" t="s">
        <v>398</v>
      </c>
      <c r="L134" s="14" t="e">
        <f t="shared" ref="L134:L169" si="14">K134-J134</f>
        <v>#VALUE!</v>
      </c>
      <c r="M134" s="12"/>
      <c r="N134" s="14" t="s">
        <v>398</v>
      </c>
      <c r="O134" s="14" t="s">
        <v>398</v>
      </c>
      <c r="P134" s="14" t="e">
        <f t="shared" si="10"/>
        <v>#VALUE!</v>
      </c>
      <c r="Q134" s="12"/>
      <c r="R134" s="14" t="s">
        <v>398</v>
      </c>
      <c r="S134" s="14" t="s">
        <v>398</v>
      </c>
      <c r="T134" s="14" t="e">
        <f t="shared" si="11"/>
        <v>#VALUE!</v>
      </c>
      <c r="U134" s="12"/>
    </row>
    <row r="135" spans="1:21" ht="20.100000000000001" customHeight="1" x14ac:dyDescent="0.25">
      <c r="A135" s="7">
        <f t="shared" si="12"/>
        <v>131</v>
      </c>
      <c r="B135" s="20" t="s">
        <v>290</v>
      </c>
      <c r="C135" s="13" t="s">
        <v>291</v>
      </c>
      <c r="D135" s="14" t="s">
        <v>274</v>
      </c>
      <c r="E135" s="13" t="s">
        <v>291</v>
      </c>
      <c r="F135" s="14" t="s">
        <v>386</v>
      </c>
      <c r="G135" s="14" t="s">
        <v>396</v>
      </c>
      <c r="H135" s="14" t="e">
        <f t="shared" si="13"/>
        <v>#VALUE!</v>
      </c>
      <c r="I135" s="33"/>
      <c r="J135" s="14" t="s">
        <v>396</v>
      </c>
      <c r="K135" s="14" t="s">
        <v>406</v>
      </c>
      <c r="L135" s="14" t="e">
        <f t="shared" si="14"/>
        <v>#VALUE!</v>
      </c>
      <c r="M135" s="33"/>
      <c r="N135" s="14" t="s">
        <v>406</v>
      </c>
      <c r="O135" s="14" t="s">
        <v>406</v>
      </c>
      <c r="P135" s="14" t="e">
        <f t="shared" si="10"/>
        <v>#VALUE!</v>
      </c>
      <c r="Q135" s="33"/>
      <c r="R135" s="14" t="s">
        <v>406</v>
      </c>
      <c r="S135" s="14" t="s">
        <v>425</v>
      </c>
      <c r="T135" s="14" t="e">
        <f t="shared" si="11"/>
        <v>#VALUE!</v>
      </c>
      <c r="U135" s="33"/>
    </row>
    <row r="136" spans="1:21" ht="20.100000000000001" customHeight="1" x14ac:dyDescent="0.25">
      <c r="A136" s="7">
        <f t="shared" si="12"/>
        <v>132</v>
      </c>
      <c r="B136" s="17" t="s">
        <v>292</v>
      </c>
      <c r="C136" s="18" t="s">
        <v>293</v>
      </c>
      <c r="D136" s="19" t="s">
        <v>274</v>
      </c>
      <c r="E136" s="18" t="s">
        <v>293</v>
      </c>
      <c r="F136" s="14" t="s">
        <v>392</v>
      </c>
      <c r="G136" s="14" t="s">
        <v>403</v>
      </c>
      <c r="H136" s="14" t="e">
        <f t="shared" si="13"/>
        <v>#VALUE!</v>
      </c>
      <c r="I136" s="12"/>
      <c r="J136" s="14" t="s">
        <v>403</v>
      </c>
      <c r="K136" s="14" t="s">
        <v>413</v>
      </c>
      <c r="L136" s="14" t="e">
        <f t="shared" si="14"/>
        <v>#VALUE!</v>
      </c>
      <c r="M136" s="12"/>
      <c r="N136" s="14" t="s">
        <v>413</v>
      </c>
      <c r="O136" s="14" t="s">
        <v>422</v>
      </c>
      <c r="P136" s="14" t="e">
        <f t="shared" si="10"/>
        <v>#VALUE!</v>
      </c>
      <c r="Q136" s="12"/>
      <c r="R136" s="14" t="s">
        <v>422</v>
      </c>
      <c r="S136" s="14" t="s">
        <v>433</v>
      </c>
      <c r="T136" s="14" t="e">
        <f t="shared" si="11"/>
        <v>#VALUE!</v>
      </c>
      <c r="U136" s="12"/>
    </row>
    <row r="137" spans="1:21" ht="20.100000000000001" customHeight="1" x14ac:dyDescent="0.25">
      <c r="A137" s="7">
        <f t="shared" si="12"/>
        <v>133</v>
      </c>
      <c r="B137" s="8" t="s">
        <v>294</v>
      </c>
      <c r="C137" s="9" t="s">
        <v>295</v>
      </c>
      <c r="D137" s="14" t="s">
        <v>274</v>
      </c>
      <c r="E137" s="13" t="s">
        <v>295</v>
      </c>
      <c r="F137" s="14" t="s">
        <v>385</v>
      </c>
      <c r="G137" s="14" t="s">
        <v>399</v>
      </c>
      <c r="H137" s="14" t="e">
        <f t="shared" si="13"/>
        <v>#VALUE!</v>
      </c>
      <c r="I137" s="28"/>
      <c r="J137" s="14" t="s">
        <v>399</v>
      </c>
      <c r="K137" s="14" t="s">
        <v>409</v>
      </c>
      <c r="L137" s="14" t="e">
        <f t="shared" si="14"/>
        <v>#VALUE!</v>
      </c>
      <c r="M137" s="28"/>
      <c r="N137" s="14" t="s">
        <v>409</v>
      </c>
      <c r="O137" s="14" t="s">
        <v>418</v>
      </c>
      <c r="P137" s="14" t="e">
        <f t="shared" si="10"/>
        <v>#VALUE!</v>
      </c>
      <c r="Q137" s="28"/>
      <c r="R137" s="14" t="s">
        <v>418</v>
      </c>
      <c r="S137" s="14" t="s">
        <v>428</v>
      </c>
      <c r="T137" s="14" t="e">
        <f t="shared" si="11"/>
        <v>#VALUE!</v>
      </c>
      <c r="U137" s="28"/>
    </row>
    <row r="138" spans="1:21" ht="20.100000000000001" customHeight="1" x14ac:dyDescent="0.25">
      <c r="A138" s="7">
        <f t="shared" si="12"/>
        <v>134</v>
      </c>
      <c r="B138" s="20" t="s">
        <v>296</v>
      </c>
      <c r="C138" s="13" t="s">
        <v>297</v>
      </c>
      <c r="D138" s="14" t="s">
        <v>298</v>
      </c>
      <c r="E138" s="13" t="s">
        <v>299</v>
      </c>
      <c r="F138" s="14">
        <v>935</v>
      </c>
      <c r="G138" s="14">
        <v>940</v>
      </c>
      <c r="H138" s="14">
        <f t="shared" si="13"/>
        <v>5</v>
      </c>
      <c r="I138" s="12"/>
      <c r="J138" s="14">
        <v>940</v>
      </c>
      <c r="K138" s="14">
        <v>940</v>
      </c>
      <c r="L138" s="14">
        <f t="shared" si="14"/>
        <v>0</v>
      </c>
      <c r="M138" s="12"/>
      <c r="N138" s="14">
        <v>940</v>
      </c>
      <c r="O138" s="14">
        <v>979</v>
      </c>
      <c r="P138" s="14">
        <f t="shared" si="10"/>
        <v>39</v>
      </c>
      <c r="Q138" s="12"/>
      <c r="R138" s="14">
        <v>979</v>
      </c>
      <c r="S138" s="14">
        <v>983</v>
      </c>
      <c r="T138" s="14">
        <f t="shared" si="11"/>
        <v>4</v>
      </c>
      <c r="U138" s="12"/>
    </row>
    <row r="139" spans="1:21" ht="20.100000000000001" customHeight="1" x14ac:dyDescent="0.25">
      <c r="A139" s="7">
        <f t="shared" si="12"/>
        <v>135</v>
      </c>
      <c r="B139" s="11" t="s">
        <v>300</v>
      </c>
      <c r="C139" s="13" t="s">
        <v>301</v>
      </c>
      <c r="D139" s="14" t="s">
        <v>302</v>
      </c>
      <c r="E139" s="13" t="s">
        <v>303</v>
      </c>
      <c r="F139" s="14">
        <v>1011</v>
      </c>
      <c r="G139" s="14">
        <v>1023</v>
      </c>
      <c r="H139" s="14">
        <f t="shared" si="13"/>
        <v>12</v>
      </c>
      <c r="I139" s="12"/>
      <c r="J139" s="14">
        <v>1023</v>
      </c>
      <c r="K139" s="14">
        <v>1023</v>
      </c>
      <c r="L139" s="14">
        <f t="shared" si="14"/>
        <v>0</v>
      </c>
      <c r="M139" s="12"/>
      <c r="N139" s="14">
        <v>1023</v>
      </c>
      <c r="O139" s="14">
        <v>1035</v>
      </c>
      <c r="P139" s="14">
        <f t="shared" si="10"/>
        <v>12</v>
      </c>
      <c r="Q139" s="12"/>
      <c r="R139" s="14">
        <v>1035</v>
      </c>
      <c r="S139" s="14">
        <v>1039</v>
      </c>
      <c r="T139" s="14">
        <f t="shared" si="11"/>
        <v>4</v>
      </c>
      <c r="U139" s="12"/>
    </row>
    <row r="140" spans="1:21" ht="20.100000000000001" customHeight="1" x14ac:dyDescent="0.25">
      <c r="A140" s="7">
        <f t="shared" si="12"/>
        <v>136</v>
      </c>
      <c r="B140" s="24" t="s">
        <v>304</v>
      </c>
      <c r="C140" s="13" t="s">
        <v>305</v>
      </c>
      <c r="D140" s="14" t="s">
        <v>306</v>
      </c>
      <c r="E140" s="13" t="s">
        <v>307</v>
      </c>
      <c r="F140" s="14">
        <v>721</v>
      </c>
      <c r="G140" s="14">
        <v>721</v>
      </c>
      <c r="H140" s="14">
        <f t="shared" si="13"/>
        <v>0</v>
      </c>
      <c r="I140" s="12"/>
      <c r="J140" s="14">
        <v>721</v>
      </c>
      <c r="K140" s="14">
        <v>721</v>
      </c>
      <c r="L140" s="14">
        <f t="shared" si="14"/>
        <v>0</v>
      </c>
      <c r="M140" s="12"/>
      <c r="N140" s="14">
        <v>721</v>
      </c>
      <c r="O140" s="14">
        <v>721</v>
      </c>
      <c r="P140" s="14">
        <f t="shared" si="10"/>
        <v>0</v>
      </c>
      <c r="Q140" s="12"/>
      <c r="R140" s="14">
        <v>721</v>
      </c>
      <c r="S140" s="14">
        <v>721</v>
      </c>
      <c r="T140" s="14">
        <f t="shared" si="11"/>
        <v>0</v>
      </c>
      <c r="U140" s="12"/>
    </row>
    <row r="141" spans="1:21" ht="20.100000000000001" customHeight="1" x14ac:dyDescent="0.25">
      <c r="A141" s="7">
        <f t="shared" si="12"/>
        <v>137</v>
      </c>
      <c r="B141" s="8" t="s">
        <v>308</v>
      </c>
      <c r="C141" s="9" t="s">
        <v>309</v>
      </c>
      <c r="D141" s="10" t="s">
        <v>306</v>
      </c>
      <c r="E141" s="9" t="s">
        <v>310</v>
      </c>
      <c r="F141" s="14">
        <v>5247</v>
      </c>
      <c r="G141" s="14">
        <v>5247</v>
      </c>
      <c r="H141" s="14">
        <f t="shared" si="13"/>
        <v>0</v>
      </c>
      <c r="I141" s="12"/>
      <c r="J141" s="14">
        <v>5247</v>
      </c>
      <c r="K141" s="14">
        <v>5280</v>
      </c>
      <c r="L141" s="14">
        <f t="shared" si="14"/>
        <v>33</v>
      </c>
      <c r="M141" s="12"/>
      <c r="N141" s="14">
        <v>5280</v>
      </c>
      <c r="O141" s="14">
        <v>5280</v>
      </c>
      <c r="P141" s="14">
        <f t="shared" si="10"/>
        <v>0</v>
      </c>
      <c r="Q141" s="12"/>
      <c r="R141" s="14">
        <v>5280</v>
      </c>
      <c r="S141" s="14">
        <v>5300</v>
      </c>
      <c r="T141" s="14">
        <f t="shared" si="11"/>
        <v>20</v>
      </c>
      <c r="U141" s="12"/>
    </row>
    <row r="142" spans="1:21" ht="20.100000000000001" customHeight="1" x14ac:dyDescent="0.25">
      <c r="A142" s="7">
        <f t="shared" si="12"/>
        <v>138</v>
      </c>
      <c r="B142" s="17" t="s">
        <v>311</v>
      </c>
      <c r="C142" s="9" t="s">
        <v>312</v>
      </c>
      <c r="D142" s="10" t="s">
        <v>313</v>
      </c>
      <c r="E142" s="25" t="s">
        <v>314</v>
      </c>
      <c r="F142" s="14">
        <v>6482</v>
      </c>
      <c r="G142" s="14">
        <v>6482</v>
      </c>
      <c r="H142" s="14">
        <f t="shared" si="13"/>
        <v>0</v>
      </c>
      <c r="I142" s="12"/>
      <c r="J142" s="14">
        <v>6482</v>
      </c>
      <c r="K142" s="14">
        <v>6482</v>
      </c>
      <c r="L142" s="14">
        <f t="shared" si="14"/>
        <v>0</v>
      </c>
      <c r="M142" s="12"/>
      <c r="N142" s="14">
        <v>6482</v>
      </c>
      <c r="O142" s="14">
        <v>6482</v>
      </c>
      <c r="P142" s="14">
        <f t="shared" si="10"/>
        <v>0</v>
      </c>
      <c r="Q142" s="12"/>
      <c r="R142" s="14">
        <v>6482</v>
      </c>
      <c r="S142" s="14">
        <v>6482</v>
      </c>
      <c r="T142" s="14">
        <f t="shared" si="11"/>
        <v>0</v>
      </c>
      <c r="U142" s="12"/>
    </row>
    <row r="143" spans="1:21" ht="20.100000000000001" customHeight="1" x14ac:dyDescent="0.25">
      <c r="A143" s="7">
        <f t="shared" si="12"/>
        <v>139</v>
      </c>
      <c r="B143" s="17" t="s">
        <v>311</v>
      </c>
      <c r="C143" s="22" t="s">
        <v>315</v>
      </c>
      <c r="D143" s="14" t="s">
        <v>313</v>
      </c>
      <c r="E143" s="25" t="s">
        <v>316</v>
      </c>
      <c r="F143" s="14">
        <v>4073</v>
      </c>
      <c r="G143" s="14">
        <v>4073</v>
      </c>
      <c r="H143" s="14">
        <f t="shared" si="13"/>
        <v>0</v>
      </c>
      <c r="I143" s="12"/>
      <c r="J143" s="14">
        <v>4073</v>
      </c>
      <c r="K143" s="14">
        <v>4073</v>
      </c>
      <c r="L143" s="14">
        <f t="shared" si="14"/>
        <v>0</v>
      </c>
      <c r="M143" s="12"/>
      <c r="N143" s="14">
        <v>4073</v>
      </c>
      <c r="O143" s="14">
        <v>4073</v>
      </c>
      <c r="P143" s="14">
        <f t="shared" si="10"/>
        <v>0</v>
      </c>
      <c r="Q143" s="12"/>
      <c r="R143" s="14">
        <v>4073</v>
      </c>
      <c r="S143" s="14">
        <v>4073</v>
      </c>
      <c r="T143" s="14">
        <f t="shared" si="11"/>
        <v>0</v>
      </c>
      <c r="U143" s="12"/>
    </row>
    <row r="144" spans="1:21" ht="20.100000000000001" customHeight="1" x14ac:dyDescent="0.25">
      <c r="A144" s="7">
        <f t="shared" si="12"/>
        <v>140</v>
      </c>
      <c r="B144" s="17" t="s">
        <v>311</v>
      </c>
      <c r="C144" s="13" t="s">
        <v>317</v>
      </c>
      <c r="D144" s="14" t="s">
        <v>313</v>
      </c>
      <c r="E144" s="25" t="s">
        <v>318</v>
      </c>
      <c r="F144" s="14">
        <v>7581</v>
      </c>
      <c r="G144" s="14">
        <v>7582</v>
      </c>
      <c r="H144" s="14">
        <f t="shared" si="13"/>
        <v>1</v>
      </c>
      <c r="I144" s="12"/>
      <c r="J144" s="14">
        <v>7582</v>
      </c>
      <c r="K144" s="14">
        <v>7597</v>
      </c>
      <c r="L144" s="14">
        <f t="shared" si="14"/>
        <v>15</v>
      </c>
      <c r="M144" s="12"/>
      <c r="N144" s="14">
        <v>7597</v>
      </c>
      <c r="O144" s="14">
        <v>7604</v>
      </c>
      <c r="P144" s="14">
        <f t="shared" ref="P144:P169" si="15">O144-N144</f>
        <v>7</v>
      </c>
      <c r="Q144" s="12"/>
      <c r="R144" s="14">
        <v>7604</v>
      </c>
      <c r="S144" s="14">
        <v>7610</v>
      </c>
      <c r="T144" s="14">
        <f t="shared" ref="T144:T169" si="16">S144-R144</f>
        <v>6</v>
      </c>
      <c r="U144" s="12"/>
    </row>
    <row r="145" spans="1:21" ht="20.100000000000001" customHeight="1" x14ac:dyDescent="0.25">
      <c r="A145" s="7">
        <f t="shared" si="12"/>
        <v>141</v>
      </c>
      <c r="B145" s="17" t="s">
        <v>319</v>
      </c>
      <c r="C145" s="18" t="s">
        <v>320</v>
      </c>
      <c r="D145" s="10" t="s">
        <v>313</v>
      </c>
      <c r="E145" s="9" t="s">
        <v>321</v>
      </c>
      <c r="F145" s="14">
        <v>4111</v>
      </c>
      <c r="G145" s="14">
        <v>4111</v>
      </c>
      <c r="H145" s="14">
        <f t="shared" si="13"/>
        <v>0</v>
      </c>
      <c r="I145" s="12"/>
      <c r="J145" s="14">
        <v>4111</v>
      </c>
      <c r="K145" s="14">
        <v>4180</v>
      </c>
      <c r="L145" s="14">
        <f t="shared" si="14"/>
        <v>69</v>
      </c>
      <c r="M145" s="12"/>
      <c r="N145" s="14">
        <v>4180</v>
      </c>
      <c r="O145" s="14">
        <v>4180</v>
      </c>
      <c r="P145" s="14">
        <f t="shared" si="15"/>
        <v>0</v>
      </c>
      <c r="Q145" s="12"/>
      <c r="R145" s="14">
        <v>4180</v>
      </c>
      <c r="S145" s="14">
        <v>4180</v>
      </c>
      <c r="T145" s="14">
        <f t="shared" si="16"/>
        <v>0</v>
      </c>
      <c r="U145" s="12"/>
    </row>
    <row r="146" spans="1:21" ht="20.100000000000001" customHeight="1" x14ac:dyDescent="0.25">
      <c r="A146" s="7">
        <f t="shared" si="12"/>
        <v>142</v>
      </c>
      <c r="B146" s="27" t="s">
        <v>311</v>
      </c>
      <c r="C146" s="13" t="s">
        <v>322</v>
      </c>
      <c r="D146" s="14" t="s">
        <v>313</v>
      </c>
      <c r="E146" s="13" t="s">
        <v>322</v>
      </c>
      <c r="F146" s="14">
        <v>3963</v>
      </c>
      <c r="G146" s="14">
        <v>3963</v>
      </c>
      <c r="H146" s="14">
        <f t="shared" si="13"/>
        <v>0</v>
      </c>
      <c r="I146" s="12"/>
      <c r="J146" s="14">
        <v>3963</v>
      </c>
      <c r="K146" s="14">
        <v>3963</v>
      </c>
      <c r="L146" s="14">
        <f t="shared" si="14"/>
        <v>0</v>
      </c>
      <c r="M146" s="12"/>
      <c r="N146" s="14">
        <v>3963</v>
      </c>
      <c r="O146" s="14">
        <v>3963</v>
      </c>
      <c r="P146" s="14">
        <f t="shared" si="15"/>
        <v>0</v>
      </c>
      <c r="Q146" s="12"/>
      <c r="R146" s="14">
        <v>3963</v>
      </c>
      <c r="S146" s="14">
        <v>3963</v>
      </c>
      <c r="T146" s="14">
        <f t="shared" si="16"/>
        <v>0</v>
      </c>
      <c r="U146" s="12"/>
    </row>
    <row r="147" spans="1:21" ht="20.100000000000001" customHeight="1" x14ac:dyDescent="0.25">
      <c r="A147" s="7">
        <f t="shared" si="12"/>
        <v>143</v>
      </c>
      <c r="B147" s="8" t="s">
        <v>311</v>
      </c>
      <c r="C147" s="9" t="s">
        <v>323</v>
      </c>
      <c r="D147" s="10" t="s">
        <v>313</v>
      </c>
      <c r="E147" s="9" t="s">
        <v>324</v>
      </c>
      <c r="F147" s="14">
        <v>2449</v>
      </c>
      <c r="G147" s="14">
        <v>2449</v>
      </c>
      <c r="H147" s="14">
        <f t="shared" si="13"/>
        <v>0</v>
      </c>
      <c r="I147" s="12"/>
      <c r="J147" s="14">
        <v>2449</v>
      </c>
      <c r="K147" s="14">
        <v>2449</v>
      </c>
      <c r="L147" s="14">
        <f t="shared" si="14"/>
        <v>0</v>
      </c>
      <c r="M147" s="12"/>
      <c r="N147" s="14">
        <v>2449</v>
      </c>
      <c r="O147" s="14">
        <v>2449</v>
      </c>
      <c r="P147" s="14">
        <f t="shared" si="15"/>
        <v>0</v>
      </c>
      <c r="Q147" s="12"/>
      <c r="R147" s="14">
        <v>2449</v>
      </c>
      <c r="S147" s="14">
        <v>2449</v>
      </c>
      <c r="T147" s="14">
        <f t="shared" si="16"/>
        <v>0</v>
      </c>
      <c r="U147" s="12"/>
    </row>
    <row r="148" spans="1:21" ht="20.100000000000001" customHeight="1" x14ac:dyDescent="0.25">
      <c r="A148" s="7">
        <f t="shared" si="12"/>
        <v>144</v>
      </c>
      <c r="B148" s="27" t="s">
        <v>311</v>
      </c>
      <c r="C148" s="13" t="s">
        <v>325</v>
      </c>
      <c r="D148" s="14" t="s">
        <v>313</v>
      </c>
      <c r="E148" s="13" t="s">
        <v>325</v>
      </c>
      <c r="F148" s="14">
        <v>2442</v>
      </c>
      <c r="G148" s="14">
        <v>2442</v>
      </c>
      <c r="H148" s="14">
        <f t="shared" si="13"/>
        <v>0</v>
      </c>
      <c r="I148" s="12"/>
      <c r="J148" s="14">
        <v>2442</v>
      </c>
      <c r="K148" s="14">
        <v>2442</v>
      </c>
      <c r="L148" s="14">
        <f t="shared" si="14"/>
        <v>0</v>
      </c>
      <c r="M148" s="12"/>
      <c r="N148" s="14">
        <v>2442</v>
      </c>
      <c r="O148" s="14">
        <v>2442</v>
      </c>
      <c r="P148" s="14">
        <f t="shared" si="15"/>
        <v>0</v>
      </c>
      <c r="Q148" s="12"/>
      <c r="R148" s="14">
        <v>2442</v>
      </c>
      <c r="S148" s="14">
        <v>2442</v>
      </c>
      <c r="T148" s="14">
        <f t="shared" si="16"/>
        <v>0</v>
      </c>
      <c r="U148" s="12"/>
    </row>
    <row r="149" spans="1:21" ht="20.100000000000001" customHeight="1" x14ac:dyDescent="0.25">
      <c r="A149" s="7">
        <f t="shared" si="12"/>
        <v>145</v>
      </c>
      <c r="B149" s="17" t="s">
        <v>326</v>
      </c>
      <c r="C149" s="9" t="s">
        <v>327</v>
      </c>
      <c r="D149" s="10" t="s">
        <v>313</v>
      </c>
      <c r="E149" s="25" t="s">
        <v>328</v>
      </c>
      <c r="F149" s="14">
        <v>6735</v>
      </c>
      <c r="G149" s="14">
        <v>6761</v>
      </c>
      <c r="H149" s="14">
        <f t="shared" si="13"/>
        <v>26</v>
      </c>
      <c r="I149" s="12"/>
      <c r="J149" s="14">
        <v>6761</v>
      </c>
      <c r="K149" s="14">
        <v>6773</v>
      </c>
      <c r="L149" s="14">
        <f t="shared" si="14"/>
        <v>12</v>
      </c>
      <c r="M149" s="12"/>
      <c r="N149" s="14">
        <v>6773</v>
      </c>
      <c r="O149" s="14">
        <v>6784</v>
      </c>
      <c r="P149" s="14">
        <f t="shared" si="15"/>
        <v>11</v>
      </c>
      <c r="Q149" s="12"/>
      <c r="R149" s="14">
        <v>6784</v>
      </c>
      <c r="S149" s="14">
        <v>6796</v>
      </c>
      <c r="T149" s="14">
        <f t="shared" si="16"/>
        <v>12</v>
      </c>
      <c r="U149" s="12"/>
    </row>
    <row r="150" spans="1:21" ht="20.100000000000001" customHeight="1" x14ac:dyDescent="0.25">
      <c r="A150" s="7">
        <f t="shared" si="12"/>
        <v>146</v>
      </c>
      <c r="B150" s="17" t="s">
        <v>329</v>
      </c>
      <c r="C150" s="9" t="s">
        <v>330</v>
      </c>
      <c r="D150" s="10" t="s">
        <v>313</v>
      </c>
      <c r="E150" s="25" t="s">
        <v>331</v>
      </c>
      <c r="F150" s="14">
        <v>4094</v>
      </c>
      <c r="G150" s="14">
        <v>4094</v>
      </c>
      <c r="H150" s="14">
        <f t="shared" si="13"/>
        <v>0</v>
      </c>
      <c r="I150" s="12"/>
      <c r="J150" s="14">
        <v>4094</v>
      </c>
      <c r="K150" s="14">
        <v>4094</v>
      </c>
      <c r="L150" s="14">
        <f t="shared" si="14"/>
        <v>0</v>
      </c>
      <c r="M150" s="12"/>
      <c r="N150" s="14">
        <v>4094</v>
      </c>
      <c r="O150" s="14">
        <v>4094</v>
      </c>
      <c r="P150" s="14">
        <f t="shared" si="15"/>
        <v>0</v>
      </c>
      <c r="Q150" s="12"/>
      <c r="R150" s="14">
        <v>4094</v>
      </c>
      <c r="S150" s="14">
        <v>4094</v>
      </c>
      <c r="T150" s="14">
        <f t="shared" si="16"/>
        <v>0</v>
      </c>
      <c r="U150" s="12"/>
    </row>
    <row r="151" spans="1:21" ht="20.100000000000001" customHeight="1" x14ac:dyDescent="0.25">
      <c r="A151" s="7">
        <f t="shared" si="12"/>
        <v>147</v>
      </c>
      <c r="B151" s="27" t="s">
        <v>332</v>
      </c>
      <c r="C151" s="13" t="s">
        <v>333</v>
      </c>
      <c r="D151" s="14" t="s">
        <v>313</v>
      </c>
      <c r="E151" s="13" t="s">
        <v>333</v>
      </c>
      <c r="F151" s="14">
        <v>1987</v>
      </c>
      <c r="G151" s="14">
        <v>1987</v>
      </c>
      <c r="H151" s="14">
        <f t="shared" si="13"/>
        <v>0</v>
      </c>
      <c r="I151" s="12"/>
      <c r="J151" s="14">
        <v>1987</v>
      </c>
      <c r="K151" s="14">
        <v>1987</v>
      </c>
      <c r="L151" s="14">
        <f t="shared" si="14"/>
        <v>0</v>
      </c>
      <c r="M151" s="12"/>
      <c r="N151" s="14">
        <v>1987</v>
      </c>
      <c r="O151" s="14">
        <v>1987</v>
      </c>
      <c r="P151" s="14">
        <f t="shared" si="15"/>
        <v>0</v>
      </c>
      <c r="Q151" s="12"/>
      <c r="R151" s="14">
        <v>1987</v>
      </c>
      <c r="S151" s="14">
        <v>1987</v>
      </c>
      <c r="T151" s="14">
        <f t="shared" si="16"/>
        <v>0</v>
      </c>
      <c r="U151" s="12"/>
    </row>
    <row r="152" spans="1:21" ht="20.100000000000001" customHeight="1" x14ac:dyDescent="0.25">
      <c r="A152" s="7">
        <f t="shared" si="12"/>
        <v>148</v>
      </c>
      <c r="B152" s="17" t="s">
        <v>332</v>
      </c>
      <c r="C152" s="9" t="s">
        <v>334</v>
      </c>
      <c r="D152" s="10" t="s">
        <v>313</v>
      </c>
      <c r="E152" s="25" t="s">
        <v>335</v>
      </c>
      <c r="F152" s="14">
        <v>5253</v>
      </c>
      <c r="G152" s="14">
        <v>5253</v>
      </c>
      <c r="H152" s="14">
        <f t="shared" si="13"/>
        <v>0</v>
      </c>
      <c r="I152" s="12"/>
      <c r="J152" s="14">
        <v>5253</v>
      </c>
      <c r="K152" s="14">
        <v>5253</v>
      </c>
      <c r="L152" s="14">
        <f t="shared" si="14"/>
        <v>0</v>
      </c>
      <c r="M152" s="12"/>
      <c r="N152" s="14">
        <v>5253</v>
      </c>
      <c r="O152" s="14">
        <v>5253</v>
      </c>
      <c r="P152" s="14">
        <f t="shared" si="15"/>
        <v>0</v>
      </c>
      <c r="Q152" s="12"/>
      <c r="R152" s="14">
        <v>5253</v>
      </c>
      <c r="S152" s="14">
        <v>5253</v>
      </c>
      <c r="T152" s="14">
        <f t="shared" si="16"/>
        <v>0</v>
      </c>
      <c r="U152" s="12"/>
    </row>
    <row r="153" spans="1:21" ht="20.100000000000001" customHeight="1" x14ac:dyDescent="0.25">
      <c r="A153" s="7">
        <f t="shared" si="12"/>
        <v>149</v>
      </c>
      <c r="B153" s="27" t="s">
        <v>332</v>
      </c>
      <c r="C153" s="13" t="s">
        <v>336</v>
      </c>
      <c r="D153" s="14" t="s">
        <v>313</v>
      </c>
      <c r="E153" s="13" t="s">
        <v>336</v>
      </c>
      <c r="F153" s="14">
        <v>1773</v>
      </c>
      <c r="G153" s="14">
        <v>1773</v>
      </c>
      <c r="H153" s="14">
        <f t="shared" si="13"/>
        <v>0</v>
      </c>
      <c r="I153" s="12"/>
      <c r="J153" s="14">
        <v>1773</v>
      </c>
      <c r="K153" s="14">
        <v>1773</v>
      </c>
      <c r="L153" s="14">
        <f t="shared" si="14"/>
        <v>0</v>
      </c>
      <c r="M153" s="12"/>
      <c r="N153" s="14">
        <v>1773</v>
      </c>
      <c r="O153" s="14">
        <v>1773</v>
      </c>
      <c r="P153" s="14">
        <f t="shared" si="15"/>
        <v>0</v>
      </c>
      <c r="Q153" s="12"/>
      <c r="R153" s="14">
        <v>1773</v>
      </c>
      <c r="S153" s="14">
        <v>1773</v>
      </c>
      <c r="T153" s="14">
        <f t="shared" si="16"/>
        <v>0</v>
      </c>
      <c r="U153" s="12"/>
    </row>
    <row r="154" spans="1:21" ht="20.100000000000001" customHeight="1" x14ac:dyDescent="0.25">
      <c r="A154" s="7">
        <f t="shared" si="12"/>
        <v>150</v>
      </c>
      <c r="B154" s="27" t="s">
        <v>332</v>
      </c>
      <c r="C154" s="13" t="s">
        <v>337</v>
      </c>
      <c r="D154" s="14" t="s">
        <v>313</v>
      </c>
      <c r="E154" s="13" t="s">
        <v>337</v>
      </c>
      <c r="F154" s="14">
        <v>2482</v>
      </c>
      <c r="G154" s="14">
        <v>2482</v>
      </c>
      <c r="H154" s="14">
        <f t="shared" si="13"/>
        <v>0</v>
      </c>
      <c r="I154" s="12"/>
      <c r="J154" s="14">
        <v>2482</v>
      </c>
      <c r="K154" s="14">
        <v>2482</v>
      </c>
      <c r="L154" s="14">
        <f t="shared" si="14"/>
        <v>0</v>
      </c>
      <c r="M154" s="12"/>
      <c r="N154" s="14">
        <v>2482</v>
      </c>
      <c r="O154" s="14">
        <v>2482</v>
      </c>
      <c r="P154" s="14">
        <f t="shared" si="15"/>
        <v>0</v>
      </c>
      <c r="Q154" s="12"/>
      <c r="R154" s="14">
        <v>2482</v>
      </c>
      <c r="S154" s="14">
        <v>2482</v>
      </c>
      <c r="T154" s="14">
        <f t="shared" si="16"/>
        <v>0</v>
      </c>
      <c r="U154" s="12"/>
    </row>
    <row r="155" spans="1:21" ht="20.100000000000001" hidden="1" customHeight="1" x14ac:dyDescent="0.25">
      <c r="A155" s="7">
        <f t="shared" si="12"/>
        <v>151</v>
      </c>
      <c r="B155" s="27" t="s">
        <v>384</v>
      </c>
      <c r="C155" s="21">
        <v>4100594</v>
      </c>
      <c r="D155" s="14">
        <v>1047</v>
      </c>
      <c r="E155" s="21">
        <v>4100594</v>
      </c>
      <c r="F155" s="14">
        <v>3117</v>
      </c>
      <c r="G155" s="14">
        <v>3117</v>
      </c>
      <c r="H155" s="14">
        <f t="shared" si="13"/>
        <v>0</v>
      </c>
      <c r="I155" s="16">
        <v>24</v>
      </c>
      <c r="J155" s="14">
        <v>3117</v>
      </c>
      <c r="K155" s="14">
        <v>3117</v>
      </c>
      <c r="L155" s="14">
        <f t="shared" si="14"/>
        <v>0</v>
      </c>
      <c r="M155" s="16">
        <v>24</v>
      </c>
      <c r="N155" s="14">
        <v>3117</v>
      </c>
      <c r="O155" s="14">
        <v>3117</v>
      </c>
      <c r="P155" s="14">
        <f t="shared" si="15"/>
        <v>0</v>
      </c>
      <c r="Q155" s="16">
        <v>24</v>
      </c>
      <c r="R155" s="14">
        <v>3117</v>
      </c>
      <c r="S155" s="14">
        <v>3117</v>
      </c>
      <c r="T155" s="14">
        <f t="shared" si="16"/>
        <v>0</v>
      </c>
      <c r="U155" s="16">
        <v>24</v>
      </c>
    </row>
    <row r="156" spans="1:21" ht="20.100000000000001" customHeight="1" x14ac:dyDescent="0.25">
      <c r="A156" s="7">
        <f>A154+1</f>
        <v>151</v>
      </c>
      <c r="B156" s="11" t="s">
        <v>338</v>
      </c>
      <c r="C156" s="13" t="s">
        <v>339</v>
      </c>
      <c r="D156" s="14" t="s">
        <v>340</v>
      </c>
      <c r="E156" s="13" t="s">
        <v>341</v>
      </c>
      <c r="F156" s="14">
        <v>225</v>
      </c>
      <c r="G156" s="14">
        <v>231</v>
      </c>
      <c r="H156" s="14">
        <f t="shared" si="13"/>
        <v>6</v>
      </c>
      <c r="I156" s="12"/>
      <c r="J156" s="14">
        <v>231</v>
      </c>
      <c r="K156" s="14">
        <v>233</v>
      </c>
      <c r="L156" s="14">
        <f t="shared" si="14"/>
        <v>2</v>
      </c>
      <c r="M156" s="12"/>
      <c r="N156" s="14">
        <v>233</v>
      </c>
      <c r="O156" s="14">
        <v>233</v>
      </c>
      <c r="P156" s="14">
        <f t="shared" si="15"/>
        <v>0</v>
      </c>
      <c r="Q156" s="12"/>
      <c r="R156" s="14">
        <v>233</v>
      </c>
      <c r="S156" s="14">
        <v>234</v>
      </c>
      <c r="T156" s="14">
        <f t="shared" si="16"/>
        <v>1</v>
      </c>
      <c r="U156" s="12"/>
    </row>
    <row r="157" spans="1:21" ht="20.100000000000001" customHeight="1" x14ac:dyDescent="0.25">
      <c r="A157" s="7">
        <f t="shared" si="12"/>
        <v>152</v>
      </c>
      <c r="B157" s="11" t="s">
        <v>342</v>
      </c>
      <c r="C157" s="13" t="s">
        <v>343</v>
      </c>
      <c r="D157" s="14" t="s">
        <v>340</v>
      </c>
      <c r="E157" s="13" t="s">
        <v>344</v>
      </c>
      <c r="F157" s="14">
        <v>442</v>
      </c>
      <c r="G157" s="14">
        <v>444</v>
      </c>
      <c r="H157" s="14">
        <f t="shared" si="13"/>
        <v>2</v>
      </c>
      <c r="I157" s="12"/>
      <c r="J157" s="14">
        <v>444</v>
      </c>
      <c r="K157" s="14">
        <v>444</v>
      </c>
      <c r="L157" s="14">
        <f t="shared" si="14"/>
        <v>0</v>
      </c>
      <c r="M157" s="12"/>
      <c r="N157" s="14">
        <v>444</v>
      </c>
      <c r="O157" s="14">
        <v>454</v>
      </c>
      <c r="P157" s="14">
        <f t="shared" si="15"/>
        <v>10</v>
      </c>
      <c r="Q157" s="12"/>
      <c r="R157" s="14">
        <v>454</v>
      </c>
      <c r="S157" s="14">
        <v>454</v>
      </c>
      <c r="T157" s="14">
        <f t="shared" si="16"/>
        <v>0</v>
      </c>
      <c r="U157" s="12"/>
    </row>
    <row r="158" spans="1:21" ht="20.100000000000001" customHeight="1" x14ac:dyDescent="0.25">
      <c r="A158" s="7">
        <f t="shared" si="12"/>
        <v>153</v>
      </c>
      <c r="B158" s="11" t="s">
        <v>342</v>
      </c>
      <c r="C158" s="13" t="s">
        <v>345</v>
      </c>
      <c r="D158" s="14" t="s">
        <v>340</v>
      </c>
      <c r="E158" s="13" t="s">
        <v>379</v>
      </c>
      <c r="F158" s="14">
        <v>156</v>
      </c>
      <c r="G158" s="14">
        <v>167</v>
      </c>
      <c r="H158" s="14">
        <f t="shared" si="13"/>
        <v>11</v>
      </c>
      <c r="I158" s="12"/>
      <c r="J158" s="14">
        <v>167</v>
      </c>
      <c r="K158" s="14">
        <v>169</v>
      </c>
      <c r="L158" s="14">
        <f t="shared" si="14"/>
        <v>2</v>
      </c>
      <c r="M158" s="12"/>
      <c r="N158" s="14">
        <v>169</v>
      </c>
      <c r="O158" s="14">
        <v>174</v>
      </c>
      <c r="P158" s="14">
        <f t="shared" si="15"/>
        <v>5</v>
      </c>
      <c r="Q158" s="12"/>
      <c r="R158" s="14">
        <v>174</v>
      </c>
      <c r="S158" s="14">
        <v>174</v>
      </c>
      <c r="T158" s="14">
        <f t="shared" si="16"/>
        <v>0</v>
      </c>
      <c r="U158" s="12"/>
    </row>
    <row r="159" spans="1:21" ht="20.100000000000001" hidden="1" customHeight="1" x14ac:dyDescent="0.25">
      <c r="A159" s="7">
        <f t="shared" si="12"/>
        <v>154</v>
      </c>
      <c r="B159" s="11" t="s">
        <v>338</v>
      </c>
      <c r="C159" s="13" t="s">
        <v>346</v>
      </c>
      <c r="D159" s="14" t="s">
        <v>340</v>
      </c>
      <c r="E159" s="13" t="s">
        <v>347</v>
      </c>
      <c r="F159" s="14">
        <v>31995</v>
      </c>
      <c r="G159" s="14">
        <v>31995</v>
      </c>
      <c r="H159" s="14">
        <f t="shared" si="13"/>
        <v>0</v>
      </c>
      <c r="I159" s="12"/>
      <c r="J159" s="14">
        <v>31995</v>
      </c>
      <c r="K159" s="14">
        <v>31995</v>
      </c>
      <c r="L159" s="14">
        <f t="shared" si="14"/>
        <v>0</v>
      </c>
      <c r="M159" s="12"/>
      <c r="N159" s="14">
        <v>31995</v>
      </c>
      <c r="O159" s="14">
        <v>31995</v>
      </c>
      <c r="P159" s="14">
        <f t="shared" si="15"/>
        <v>0</v>
      </c>
      <c r="Q159" s="36">
        <v>24</v>
      </c>
      <c r="R159" s="14">
        <v>31995</v>
      </c>
      <c r="S159" s="14">
        <v>31995</v>
      </c>
      <c r="T159" s="14">
        <f t="shared" si="16"/>
        <v>0</v>
      </c>
      <c r="U159" s="36">
        <v>24</v>
      </c>
    </row>
    <row r="160" spans="1:21" ht="20.100000000000001" hidden="1" customHeight="1" x14ac:dyDescent="0.25">
      <c r="A160" s="7">
        <f t="shared" si="12"/>
        <v>155</v>
      </c>
      <c r="B160" s="11" t="s">
        <v>338</v>
      </c>
      <c r="C160" s="13" t="s">
        <v>348</v>
      </c>
      <c r="D160" s="14" t="s">
        <v>340</v>
      </c>
      <c r="E160" s="13" t="s">
        <v>349</v>
      </c>
      <c r="F160" s="14">
        <v>238</v>
      </c>
      <c r="G160" s="14">
        <v>238</v>
      </c>
      <c r="H160" s="14">
        <f t="shared" si="13"/>
        <v>0</v>
      </c>
      <c r="I160" s="12"/>
      <c r="J160" s="14">
        <v>238</v>
      </c>
      <c r="K160" s="14">
        <v>238</v>
      </c>
      <c r="L160" s="14">
        <f t="shared" si="14"/>
        <v>0</v>
      </c>
      <c r="M160" s="12"/>
      <c r="N160" s="14">
        <v>238</v>
      </c>
      <c r="O160" s="14">
        <v>242</v>
      </c>
      <c r="P160" s="14">
        <f t="shared" si="15"/>
        <v>4</v>
      </c>
      <c r="Q160" s="12"/>
      <c r="R160" s="14">
        <v>242</v>
      </c>
      <c r="S160" s="14">
        <v>242</v>
      </c>
      <c r="T160" s="14">
        <f t="shared" si="16"/>
        <v>0</v>
      </c>
      <c r="U160" s="16">
        <v>24</v>
      </c>
    </row>
    <row r="161" spans="1:21" ht="20.100000000000001" customHeight="1" x14ac:dyDescent="0.25">
      <c r="A161" s="7">
        <f t="shared" si="12"/>
        <v>156</v>
      </c>
      <c r="B161" s="11" t="s">
        <v>350</v>
      </c>
      <c r="C161" s="13" t="s">
        <v>351</v>
      </c>
      <c r="D161" s="14" t="s">
        <v>340</v>
      </c>
      <c r="E161" s="13" t="s">
        <v>352</v>
      </c>
      <c r="F161" s="14">
        <v>3135</v>
      </c>
      <c r="G161" s="14">
        <v>3135</v>
      </c>
      <c r="H161" s="14">
        <f t="shared" si="13"/>
        <v>0</v>
      </c>
      <c r="I161" s="12"/>
      <c r="J161" s="14">
        <v>3135</v>
      </c>
      <c r="K161" s="14">
        <v>3135</v>
      </c>
      <c r="L161" s="14">
        <f t="shared" si="14"/>
        <v>0</v>
      </c>
      <c r="M161" s="12"/>
      <c r="N161" s="14">
        <v>3135</v>
      </c>
      <c r="O161" s="14">
        <v>3135</v>
      </c>
      <c r="P161" s="14">
        <f t="shared" si="15"/>
        <v>0</v>
      </c>
      <c r="Q161" s="12"/>
      <c r="R161" s="14">
        <v>3135</v>
      </c>
      <c r="S161" s="14">
        <v>3135</v>
      </c>
      <c r="T161" s="14">
        <f t="shared" si="16"/>
        <v>0</v>
      </c>
      <c r="U161" s="12"/>
    </row>
    <row r="162" spans="1:21" ht="20.100000000000001" customHeight="1" x14ac:dyDescent="0.25">
      <c r="A162" s="7">
        <f t="shared" si="12"/>
        <v>157</v>
      </c>
      <c r="B162" s="11" t="s">
        <v>338</v>
      </c>
      <c r="C162" s="13" t="s">
        <v>353</v>
      </c>
      <c r="D162" s="14" t="s">
        <v>340</v>
      </c>
      <c r="E162" s="13" t="s">
        <v>354</v>
      </c>
      <c r="F162" s="14">
        <v>1196</v>
      </c>
      <c r="G162" s="14">
        <v>1205</v>
      </c>
      <c r="H162" s="14">
        <f t="shared" si="13"/>
        <v>9</v>
      </c>
      <c r="I162" s="12"/>
      <c r="J162" s="14">
        <v>1205</v>
      </c>
      <c r="K162" s="14">
        <v>1210</v>
      </c>
      <c r="L162" s="14">
        <f t="shared" si="14"/>
        <v>5</v>
      </c>
      <c r="M162" s="12"/>
      <c r="N162" s="14">
        <v>1210</v>
      </c>
      <c r="O162" s="14">
        <v>1213</v>
      </c>
      <c r="P162" s="14">
        <f t="shared" si="15"/>
        <v>3</v>
      </c>
      <c r="Q162" s="12"/>
      <c r="R162" s="14">
        <v>1213</v>
      </c>
      <c r="S162" s="14">
        <v>1213</v>
      </c>
      <c r="T162" s="14">
        <f t="shared" si="16"/>
        <v>0</v>
      </c>
      <c r="U162" s="12"/>
    </row>
    <row r="163" spans="1:21" ht="20.100000000000001" customHeight="1" x14ac:dyDescent="0.25">
      <c r="A163" s="7">
        <f t="shared" si="12"/>
        <v>158</v>
      </c>
      <c r="B163" s="11" t="s">
        <v>355</v>
      </c>
      <c r="C163" s="13" t="s">
        <v>356</v>
      </c>
      <c r="D163" s="14" t="s">
        <v>340</v>
      </c>
      <c r="E163" s="13" t="s">
        <v>356</v>
      </c>
      <c r="F163" s="14">
        <v>141</v>
      </c>
      <c r="G163" s="14">
        <v>143</v>
      </c>
      <c r="H163" s="14">
        <f t="shared" si="13"/>
        <v>2</v>
      </c>
      <c r="I163" s="12"/>
      <c r="J163" s="14">
        <v>143</v>
      </c>
      <c r="K163" s="14">
        <v>144</v>
      </c>
      <c r="L163" s="14">
        <f t="shared" si="14"/>
        <v>1</v>
      </c>
      <c r="M163" s="12"/>
      <c r="N163" s="14">
        <v>144</v>
      </c>
      <c r="O163" s="14">
        <v>147</v>
      </c>
      <c r="P163" s="14">
        <f t="shared" si="15"/>
        <v>3</v>
      </c>
      <c r="Q163" s="12"/>
      <c r="R163" s="14">
        <v>147</v>
      </c>
      <c r="S163" s="14">
        <v>153</v>
      </c>
      <c r="T163" s="14">
        <f t="shared" si="16"/>
        <v>6</v>
      </c>
      <c r="U163" s="12"/>
    </row>
    <row r="164" spans="1:21" ht="20.100000000000001" customHeight="1" x14ac:dyDescent="0.25">
      <c r="A164" s="7">
        <f t="shared" si="12"/>
        <v>159</v>
      </c>
      <c r="B164" s="11" t="s">
        <v>357</v>
      </c>
      <c r="C164" s="13" t="s">
        <v>358</v>
      </c>
      <c r="D164" s="14" t="s">
        <v>340</v>
      </c>
      <c r="E164" s="13" t="s">
        <v>358</v>
      </c>
      <c r="F164" s="14">
        <v>1349</v>
      </c>
      <c r="G164" s="14">
        <v>1349</v>
      </c>
      <c r="H164" s="14">
        <f t="shared" si="13"/>
        <v>0</v>
      </c>
      <c r="I164" s="12"/>
      <c r="J164" s="14">
        <v>1349</v>
      </c>
      <c r="K164" s="14">
        <v>1349</v>
      </c>
      <c r="L164" s="14">
        <f t="shared" si="14"/>
        <v>0</v>
      </c>
      <c r="M164" s="12"/>
      <c r="N164" s="14">
        <v>1349</v>
      </c>
      <c r="O164" s="14">
        <v>1349</v>
      </c>
      <c r="P164" s="14">
        <f t="shared" si="15"/>
        <v>0</v>
      </c>
      <c r="Q164" s="12"/>
      <c r="R164" s="14">
        <v>1349</v>
      </c>
      <c r="S164" s="14">
        <v>1349</v>
      </c>
      <c r="T164" s="14">
        <f t="shared" si="16"/>
        <v>0</v>
      </c>
      <c r="U164" s="12"/>
    </row>
    <row r="165" spans="1:21" ht="20.100000000000001" customHeight="1" x14ac:dyDescent="0.25">
      <c r="A165" s="7">
        <f t="shared" si="12"/>
        <v>160</v>
      </c>
      <c r="B165" s="11" t="s">
        <v>359</v>
      </c>
      <c r="C165" s="13" t="s">
        <v>360</v>
      </c>
      <c r="D165" s="14" t="s">
        <v>340</v>
      </c>
      <c r="E165" s="13" t="s">
        <v>360</v>
      </c>
      <c r="F165" s="14">
        <v>1882</v>
      </c>
      <c r="G165" s="14">
        <v>1887</v>
      </c>
      <c r="H165" s="14">
        <f t="shared" si="13"/>
        <v>5</v>
      </c>
      <c r="I165" s="12"/>
      <c r="J165" s="14">
        <v>1887</v>
      </c>
      <c r="K165" s="14">
        <v>1888</v>
      </c>
      <c r="L165" s="14">
        <f t="shared" si="14"/>
        <v>1</v>
      </c>
      <c r="M165" s="12"/>
      <c r="N165" s="14">
        <v>1888</v>
      </c>
      <c r="O165" s="14">
        <v>1890</v>
      </c>
      <c r="P165" s="14">
        <f t="shared" si="15"/>
        <v>2</v>
      </c>
      <c r="Q165" s="12"/>
      <c r="R165" s="14">
        <v>1890</v>
      </c>
      <c r="S165" s="14">
        <v>1895</v>
      </c>
      <c r="T165" s="14">
        <f t="shared" si="16"/>
        <v>5</v>
      </c>
      <c r="U165" s="12"/>
    </row>
    <row r="166" spans="1:21" ht="20.100000000000001" customHeight="1" x14ac:dyDescent="0.25">
      <c r="A166" s="7">
        <f t="shared" si="12"/>
        <v>161</v>
      </c>
      <c r="B166" s="11" t="s">
        <v>361</v>
      </c>
      <c r="C166" s="13" t="s">
        <v>362</v>
      </c>
      <c r="D166" s="14" t="s">
        <v>340</v>
      </c>
      <c r="E166" s="13" t="s">
        <v>362</v>
      </c>
      <c r="F166" s="14">
        <v>927</v>
      </c>
      <c r="G166" s="14">
        <v>931</v>
      </c>
      <c r="H166" s="14">
        <f t="shared" si="13"/>
        <v>4</v>
      </c>
      <c r="I166" s="12"/>
      <c r="J166" s="14">
        <v>931</v>
      </c>
      <c r="K166" s="14">
        <v>938</v>
      </c>
      <c r="L166" s="14">
        <f t="shared" si="14"/>
        <v>7</v>
      </c>
      <c r="M166" s="12"/>
      <c r="N166" s="14">
        <v>938</v>
      </c>
      <c r="O166" s="14">
        <v>945</v>
      </c>
      <c r="P166" s="14">
        <f t="shared" si="15"/>
        <v>7</v>
      </c>
      <c r="Q166" s="12"/>
      <c r="R166" s="14">
        <v>945</v>
      </c>
      <c r="S166" s="14">
        <v>948</v>
      </c>
      <c r="T166" s="14">
        <f t="shared" si="16"/>
        <v>3</v>
      </c>
      <c r="U166" s="12"/>
    </row>
    <row r="167" spans="1:21" ht="20.100000000000001" customHeight="1" x14ac:dyDescent="0.25">
      <c r="A167" s="7">
        <f t="shared" si="12"/>
        <v>162</v>
      </c>
      <c r="B167" s="11" t="s">
        <v>350</v>
      </c>
      <c r="C167" s="13" t="s">
        <v>363</v>
      </c>
      <c r="D167" s="14">
        <v>1048</v>
      </c>
      <c r="E167" s="13" t="s">
        <v>364</v>
      </c>
      <c r="F167" s="14">
        <v>418</v>
      </c>
      <c r="G167" s="14">
        <v>418</v>
      </c>
      <c r="H167" s="14">
        <f t="shared" si="13"/>
        <v>0</v>
      </c>
      <c r="I167" s="12"/>
      <c r="J167" s="14">
        <v>418</v>
      </c>
      <c r="K167" s="14">
        <v>418</v>
      </c>
      <c r="L167" s="14">
        <f t="shared" si="14"/>
        <v>0</v>
      </c>
      <c r="M167" s="12"/>
      <c r="N167" s="14">
        <v>418</v>
      </c>
      <c r="O167" s="14">
        <v>418</v>
      </c>
      <c r="P167" s="14">
        <f t="shared" si="15"/>
        <v>0</v>
      </c>
      <c r="Q167" s="12"/>
      <c r="R167" s="14">
        <v>418</v>
      </c>
      <c r="S167" s="14">
        <v>418</v>
      </c>
      <c r="T167" s="14">
        <f t="shared" si="16"/>
        <v>0</v>
      </c>
      <c r="U167" s="12"/>
    </row>
    <row r="168" spans="1:21" ht="20.100000000000001" customHeight="1" x14ac:dyDescent="0.25">
      <c r="A168" s="7">
        <f t="shared" si="12"/>
        <v>163</v>
      </c>
      <c r="B168" s="11" t="s">
        <v>383</v>
      </c>
      <c r="C168" s="13" t="s">
        <v>381</v>
      </c>
      <c r="D168" s="14">
        <v>1048</v>
      </c>
      <c r="E168" s="13" t="s">
        <v>382</v>
      </c>
      <c r="F168" s="14">
        <v>58</v>
      </c>
      <c r="G168" s="14">
        <v>58</v>
      </c>
      <c r="H168" s="14">
        <f t="shared" si="13"/>
        <v>0</v>
      </c>
      <c r="I168" s="12"/>
      <c r="J168" s="14">
        <v>58</v>
      </c>
      <c r="K168" s="14">
        <v>58</v>
      </c>
      <c r="L168" s="14">
        <f t="shared" si="14"/>
        <v>0</v>
      </c>
      <c r="M168" s="12"/>
      <c r="N168" s="14">
        <v>58</v>
      </c>
      <c r="O168" s="14">
        <v>58</v>
      </c>
      <c r="P168" s="14">
        <f t="shared" si="15"/>
        <v>0</v>
      </c>
      <c r="Q168" s="12"/>
      <c r="R168" s="14">
        <v>58</v>
      </c>
      <c r="S168" s="14">
        <v>58</v>
      </c>
      <c r="T168" s="14">
        <f t="shared" si="16"/>
        <v>0</v>
      </c>
      <c r="U168" s="12"/>
    </row>
    <row r="169" spans="1:21" ht="20.100000000000001" customHeight="1" x14ac:dyDescent="0.25">
      <c r="A169" s="7">
        <f t="shared" si="12"/>
        <v>164</v>
      </c>
      <c r="B169" s="8" t="s">
        <v>365</v>
      </c>
      <c r="C169" s="13" t="s">
        <v>366</v>
      </c>
      <c r="D169" s="14" t="s">
        <v>367</v>
      </c>
      <c r="E169" s="13" t="s">
        <v>366</v>
      </c>
      <c r="F169" s="14">
        <v>1599</v>
      </c>
      <c r="G169" s="14">
        <v>1599</v>
      </c>
      <c r="H169" s="14">
        <f t="shared" si="13"/>
        <v>0</v>
      </c>
      <c r="I169" s="12"/>
      <c r="J169" s="14">
        <v>1599</v>
      </c>
      <c r="K169" s="14">
        <v>1599</v>
      </c>
      <c r="L169" s="14">
        <f t="shared" si="14"/>
        <v>0</v>
      </c>
      <c r="M169" s="12"/>
      <c r="N169" s="14">
        <v>1599</v>
      </c>
      <c r="O169" s="14">
        <v>1599</v>
      </c>
      <c r="P169" s="14">
        <f t="shared" si="15"/>
        <v>0</v>
      </c>
      <c r="Q169" s="12"/>
      <c r="R169" s="14">
        <v>1599</v>
      </c>
      <c r="S169" s="14">
        <v>1599</v>
      </c>
      <c r="T169" s="14">
        <f t="shared" si="16"/>
        <v>0</v>
      </c>
      <c r="U169" s="12"/>
    </row>
  </sheetData>
  <autoFilter ref="A4:U169" xr:uid="{65642688-3F7F-4533-B032-CA39E5D47B75}">
    <filterColumn colId="20">
      <filters blank="1"/>
    </filterColumn>
  </autoFilter>
  <mergeCells count="4">
    <mergeCell ref="F3:I3"/>
    <mergeCell ref="J3:M3"/>
    <mergeCell ref="N3:Q3"/>
    <mergeCell ref="R3:U3"/>
  </mergeCells>
  <pageMargins left="0.70866141732283472" right="0.70866141732283472" top="0.74803149606299213" bottom="0.74803149606299213" header="0.31496062992125984" footer="0.31496062992125984"/>
  <pageSetup scale="6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Rintu Hati</dc:creator>
  <cp:lastModifiedBy>Rintu Hati</cp:lastModifiedBy>
  <cp:lastPrinted>2026-07-25T04:38:15Z</cp:lastPrinted>
  <dcterms:created xsi:type="dcterms:W3CDTF">2015-06-05T18:17:20Z</dcterms:created>
  <dcterms:modified xsi:type="dcterms:W3CDTF">2026-10-01T09:30:19Z</dcterms:modified>
</cp:coreProperties>
</file>