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1.xml" ContentType="application/vnd.openxmlformats-officedocument.spreadsheetml.comments+xml"/>
  <Override PartName="/xl/comments12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IoT Logger Cost" sheetId="2" state="visible" r:id="rId4"/>
    <sheet name="Sensor Cost" sheetId="3" state="visible" r:id="rId5"/>
    <sheet name="SaaS Cost" sheetId="4" state="visible" r:id="rId6"/>
    <sheet name="Dev &amp; Maintenance" sheetId="5" state="visible" r:id="rId7"/>
    <sheet name="QR Device" sheetId="6" state="visible" r:id="rId8"/>
    <sheet name="Installation" sheetId="7" state="visible" r:id="rId9"/>
    <sheet name="Overall Summary" sheetId="8" state="visible" r:id="rId10"/>
    <sheet name="Proposal Cost Summary" sheetId="9" state="visible" r:id="rId11"/>
    <sheet name="ROI Inputs" sheetId="10" state="visible" r:id="rId12"/>
    <sheet name="Current vs New" sheetId="11" state="visible" r:id="rId13"/>
    <sheet name="Site-by-Site ROI" sheetId="12" state="visible" r:id="rId14"/>
    <sheet name="ROI Summary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Costing Generator</author>
  </authors>
  <commentList>
    <comment ref="B26" authorId="0">
      <text>
        <r>
          <rPr>
            <sz val="10"/>
            <rFont val="Arial"/>
            <family val="2"/>
          </rPr>
          <t xml:space="preserve">NEEDS INPUT FROM SATHISHKUMAR</t>
        </r>
      </text>
    </comment>
    <comment ref="B27" authorId="0">
      <text>
        <r>
          <rPr>
            <sz val="10"/>
            <rFont val="Arial"/>
            <family val="2"/>
          </rPr>
          <t xml:space="preserve">NEEDS INPUT FROM SATHISHKUMAR</t>
        </r>
      </text>
    </comment>
    <comment ref="B28" authorId="0">
      <text>
        <r>
          <rPr>
            <sz val="10"/>
            <rFont val="Arial"/>
            <family val="2"/>
          </rPr>
          <t xml:space="preserve">NEEDS INPUT FROM SATHISHKUMAR</t>
        </r>
      </text>
    </comment>
    <comment ref="B29" authorId="0">
      <text>
        <r>
          <rPr>
            <sz val="10"/>
            <rFont val="Arial"/>
            <family val="2"/>
          </rPr>
          <t xml:space="preserve">NEEDS INPUT FROM SATHISHKUMAR</t>
        </r>
      </text>
    </comment>
    <comment ref="B30" authorId="0">
      <text>
        <r>
          <rPr>
            <sz val="10"/>
            <rFont val="Arial"/>
            <family val="2"/>
          </rPr>
          <t xml:space="preserve">NEEDS INPUT FROM SATHISHKUMAR</t>
        </r>
      </text>
    </comment>
    <comment ref="B31" authorId="0">
      <text>
        <r>
          <rPr>
            <sz val="10"/>
            <rFont val="Arial"/>
            <family val="2"/>
          </rPr>
          <t xml:space="preserve">NEEDS INPUT FROM SATHISHKUMAR</t>
        </r>
      </text>
    </comment>
    <comment ref="B32" authorId="0">
      <text>
        <r>
          <rPr>
            <sz val="10"/>
            <rFont val="Arial"/>
            <family val="2"/>
          </rPr>
          <t xml:space="preserve">NEEDS INPUT FROM SATHISHKUMAR</t>
        </r>
      </text>
    </comment>
    <comment ref="B34" authorId="0">
      <text>
        <r>
          <rPr>
            <sz val="10"/>
            <rFont val="Arial"/>
            <family val="2"/>
          </rPr>
          <t xml:space="preserve">NEEDS INPUT FROM SATHISHKUMAR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Costing Generator</author>
  </authors>
  <commentList>
    <comment ref="B2" authorId="0">
      <text>
        <r>
          <rPr>
            <sz val="10"/>
            <rFont val="Arial"/>
            <family val="2"/>
          </rPr>
          <t xml:space="preserve">NEEDS INPUT FROM SATHISHKUMAR</t>
        </r>
      </text>
    </comment>
    <comment ref="B3" authorId="0">
      <text>
        <r>
          <rPr>
            <sz val="10"/>
            <rFont val="Arial"/>
            <family val="2"/>
          </rPr>
          <t xml:space="preserve">NEEDS INPUT FROM SATHISHKUMAR</t>
        </r>
      </text>
    </comment>
    <comment ref="B4" authorId="0">
      <text>
        <r>
          <rPr>
            <sz val="10"/>
            <rFont val="Arial"/>
            <family val="2"/>
          </rPr>
          <t xml:space="preserve">NEEDS INPUT FROM SATHISHKUMAR</t>
        </r>
      </text>
    </comment>
    <comment ref="B5" authorId="0">
      <text>
        <r>
          <rPr>
            <sz val="10"/>
            <rFont val="Arial"/>
            <family val="2"/>
          </rPr>
          <t xml:space="preserve">NEEDS INPUT FROM SATHISHKUMAR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Costing Generator</author>
  </authors>
  <commentList>
    <comment ref="B2" authorId="0">
      <text>
        <r>
          <rPr>
            <sz val="10"/>
            <rFont val="Arial"/>
            <family val="2"/>
          </rPr>
          <t xml:space="preserve">NEEDS INPUT FROM SATHISHKUMAR — current (pre-IoT) baseline for this line</t>
        </r>
      </text>
    </comment>
    <comment ref="B3" authorId="0">
      <text>
        <r>
          <rPr>
            <sz val="10"/>
            <rFont val="Arial"/>
            <family val="2"/>
          </rPr>
          <t xml:space="preserve">NEEDS INPUT FROM SATHISHKUMAR — current (pre-IoT) baseline for this line</t>
        </r>
      </text>
    </comment>
    <comment ref="B4" authorId="0">
      <text>
        <r>
          <rPr>
            <sz val="10"/>
            <rFont val="Arial"/>
            <family val="2"/>
          </rPr>
          <t xml:space="preserve">NEEDS INPUT FROM SATHISHKUMAR — current (pre-IoT) baseline for this line</t>
        </r>
      </text>
    </comment>
    <comment ref="B5" authorId="0">
      <text>
        <r>
          <rPr>
            <sz val="10"/>
            <rFont val="Arial"/>
            <family val="2"/>
          </rPr>
          <t xml:space="preserve">NEEDS INPUT FROM SATHISHKUMAR — current (pre-IoT) baseline for this line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Costing Generator</author>
  </authors>
  <commentList>
    <comment ref="A2" authorId="0">
      <text>
        <r>
          <rPr>
            <sz val="10"/>
            <rFont val="Arial"/>
            <family val="2"/>
          </rPr>
          <t xml:space="preserve">NEEDS INPUT FROM SATHISHKUMAR — real site name</t>
        </r>
      </text>
    </comment>
    <comment ref="A3" authorId="0">
      <text>
        <r>
          <rPr>
            <sz val="10"/>
            <rFont val="Arial"/>
            <family val="2"/>
          </rPr>
          <t xml:space="preserve">NEEDS INPUT FROM SATHISHKUMAR — real site name</t>
        </r>
      </text>
    </comment>
    <comment ref="A4" authorId="0">
      <text>
        <r>
          <rPr>
            <sz val="10"/>
            <rFont val="Arial"/>
            <family val="2"/>
          </rPr>
          <t xml:space="preserve">NEEDS INPUT FROM SATHISHKUMAR — real site name</t>
        </r>
      </text>
    </comment>
    <comment ref="B2" authorId="0">
      <text>
        <r>
          <rPr>
            <sz val="10"/>
            <rFont val="Arial"/>
            <family val="2"/>
          </rPr>
          <t xml:space="preserve">NEEDS INPUT FROM SATHISHKUMAR — vehicle count at this site</t>
        </r>
      </text>
    </comment>
    <comment ref="B3" authorId="0">
      <text>
        <r>
          <rPr>
            <sz val="10"/>
            <rFont val="Arial"/>
            <family val="2"/>
          </rPr>
          <t xml:space="preserve">NEEDS INPUT FROM SATHISHKUMAR — vehicle count at this site</t>
        </r>
      </text>
    </comment>
    <comment ref="B4" authorId="0">
      <text>
        <r>
          <rPr>
            <sz val="10"/>
            <rFont val="Arial"/>
            <family val="2"/>
          </rPr>
          <t xml:space="preserve">NEEDS INPUT FROM SATHISHKUMAR — vehicle count at this site</t>
        </r>
      </text>
    </comment>
  </commentList>
</comments>
</file>

<file path=xl/sharedStrings.xml><?xml version="1.0" encoding="utf-8"?>
<sst xmlns="http://schemas.openxmlformats.org/spreadsheetml/2006/main" count="145" uniqueCount="115">
  <si>
    <t xml:space="preserve">Label</t>
  </si>
  <si>
    <t xml:space="preserve">Value</t>
  </si>
  <si>
    <t xml:space="preserve">Fleet Quantity</t>
  </si>
  <si>
    <t xml:space="preserve">IoT Logger Unit Cost</t>
  </si>
  <si>
    <t xml:space="preserve">IoT Logger Margin</t>
  </si>
  <si>
    <t xml:space="preserve">Firmware/App Dev Cost</t>
  </si>
  <si>
    <t xml:space="preserve">SAP Integration Cost</t>
  </si>
  <si>
    <t xml:space="preserve">Dev Margin</t>
  </si>
  <si>
    <t xml:space="preserve">Maintenance Cost</t>
  </si>
  <si>
    <t xml:space="preserve">Maintenance Margin</t>
  </si>
  <si>
    <t xml:space="preserve">QR Device Unit Cost</t>
  </si>
  <si>
    <t xml:space="preserve">QR Device Margin</t>
  </si>
  <si>
    <t xml:space="preserve">SaaS Platform (per unit/month)</t>
  </si>
  <si>
    <t xml:space="preserve">SaaS SMS (per unit/month)</t>
  </si>
  <si>
    <t xml:space="preserve">SaaS SIM (per unit/month)</t>
  </si>
  <si>
    <t xml:space="preserve">SaaS Margin</t>
  </si>
  <si>
    <t xml:space="preserve">Fuel Sensor Unit Cost</t>
  </si>
  <si>
    <t xml:space="preserve">Fuel Sensor Margin</t>
  </si>
  <si>
    <t xml:space="preserve">Temperature Sensor Unit Cost</t>
  </si>
  <si>
    <t xml:space="preserve">Temperature Sensor Margin</t>
  </si>
  <si>
    <t xml:space="preserve">Pressure Sensor Unit Cost</t>
  </si>
  <si>
    <t xml:space="preserve">Pressure Sensor Margin</t>
  </si>
  <si>
    <t xml:space="preserve">Hydraulic Sensor Unit Cost</t>
  </si>
  <si>
    <t xml:space="preserve">Hydraulic Sensor Margin</t>
  </si>
  <si>
    <t xml:space="preserve">Install Rate / Day</t>
  </si>
  <si>
    <t xml:space="preserve">Install Rate / Month</t>
  </si>
  <si>
    <t xml:space="preserve">Fuel Sensor Qty (vehicles fitted)</t>
  </si>
  <si>
    <t xml:space="preserve">Temp Sensor Qty (vehicles fitted)</t>
  </si>
  <si>
    <t xml:space="preserve">Pressure Sensor Qty (vehicles fitted)</t>
  </si>
  <si>
    <t xml:space="preserve">Hydraulic Sensor Qty (vehicles fitted)</t>
  </si>
  <si>
    <t xml:space="preserve">QR Device Qty</t>
  </si>
  <si>
    <t xml:space="preserve">Install Days (at Install Rate / Day)</t>
  </si>
  <si>
    <t xml:space="preserve">Install Months (at Install Rate / Month)</t>
  </si>
  <si>
    <t xml:space="preserve">SaaS Months / Year</t>
  </si>
  <si>
    <t xml:space="preserve">Project Duration (years, for Grand Total)</t>
  </si>
  <si>
    <t xml:space="preserve">IoT Logger Cost</t>
  </si>
  <si>
    <t xml:space="preserve">Fleet Qty</t>
  </si>
  <si>
    <t xml:space="preserve">Unit Cost</t>
  </si>
  <si>
    <t xml:space="preserve">Margin</t>
  </si>
  <si>
    <t xml:space="preserve">Unit Price</t>
  </si>
  <si>
    <t xml:space="preserve">Total Cost</t>
  </si>
  <si>
    <t xml:space="preserve">Total Price</t>
  </si>
  <si>
    <t xml:space="preserve">Sensor</t>
  </si>
  <si>
    <t xml:space="preserve">Qty</t>
  </si>
  <si>
    <t xml:space="preserve">Fuel Sensor</t>
  </si>
  <si>
    <t xml:space="preserve">Temperature Sensor</t>
  </si>
  <si>
    <t xml:space="preserve">Pressure Sensor</t>
  </si>
  <si>
    <t xml:space="preserve">Hydraulic Sensor</t>
  </si>
  <si>
    <t xml:space="preserve">TOTAL</t>
  </si>
  <si>
    <t xml:space="preserve">SaaS Cost</t>
  </si>
  <si>
    <t xml:space="preserve">Platform (per unit/month)</t>
  </si>
  <si>
    <t xml:space="preserve">SMS (per unit/month)</t>
  </si>
  <si>
    <t xml:space="preserve">SIM (per unit/month)</t>
  </si>
  <si>
    <t xml:space="preserve">Combined Unit Cost / Month</t>
  </si>
  <si>
    <t xml:space="preserve">Unit Price / Month</t>
  </si>
  <si>
    <t xml:space="preserve">Total Cost / Month</t>
  </si>
  <si>
    <t xml:space="preserve">Total Price / Month</t>
  </si>
  <si>
    <t xml:space="preserve">Months / Year</t>
  </si>
  <si>
    <t xml:space="preserve">Annual Total Cost</t>
  </si>
  <si>
    <t xml:space="preserve">Annual Total Price</t>
  </si>
  <si>
    <t xml:space="preserve">Dev &amp; Maintenance</t>
  </si>
  <si>
    <t xml:space="preserve">Dev Subtotal (Cost)</t>
  </si>
  <si>
    <t xml:space="preserve">Dev Total Price</t>
  </si>
  <si>
    <t xml:space="preserve">Maintenance Price</t>
  </si>
  <si>
    <t xml:space="preserve">Combined Total Cost</t>
  </si>
  <si>
    <t xml:space="preserve">Combined Total Price</t>
  </si>
  <si>
    <t xml:space="preserve">QR Device</t>
  </si>
  <si>
    <t xml:space="preserve">Installation</t>
  </si>
  <si>
    <t xml:space="preserve">Rate / Day</t>
  </si>
  <si>
    <t xml:space="preserve">Install Days</t>
  </si>
  <si>
    <t xml:space="preserve">Cost via Daily Rate</t>
  </si>
  <si>
    <t xml:space="preserve">Rate / Month</t>
  </si>
  <si>
    <t xml:space="preserve">Install Months</t>
  </si>
  <si>
    <t xml:space="preserve">Cost via Monthly Rate</t>
  </si>
  <si>
    <t xml:space="preserve">Total Installation Cost</t>
  </si>
  <si>
    <t xml:space="preserve">Category</t>
  </si>
  <si>
    <t xml:space="preserve">IoT Logger</t>
  </si>
  <si>
    <t xml:space="preserve">Sensors</t>
  </si>
  <si>
    <t xml:space="preserve">SaaS (Annual)</t>
  </si>
  <si>
    <t xml:space="preserve">Proposal Cost Summary</t>
  </si>
  <si>
    <t xml:space="preserve">Total First-Year Cost</t>
  </si>
  <si>
    <t xml:space="preserve">Project Duration (years)</t>
  </si>
  <si>
    <t xml:space="preserve">Recurring Categories, Annual (SaaS + Maintenance, at Price)</t>
  </si>
  <si>
    <t xml:space="preserve">Additional Years Beyond Year 1</t>
  </si>
  <si>
    <t xml:space="preserve">Grand Total</t>
  </si>
  <si>
    <t xml:space="preserve">Benefit Line</t>
  </si>
  <si>
    <t xml:space="preserve">Value (₹/year)</t>
  </si>
  <si>
    <t xml:space="preserve">Driven By</t>
  </si>
  <si>
    <t xml:space="preserve">Fuel Savings (₹/year)</t>
  </si>
  <si>
    <t xml:space="preserve">Downtime Cost Avoided (₹/year)</t>
  </si>
  <si>
    <t xml:space="preserve">Temperature / Pressure / Hydraulic Sensor + IoT Logger Alerts</t>
  </si>
  <si>
    <t xml:space="preserve">Manpower Cost Saved (₹/year)</t>
  </si>
  <si>
    <t xml:space="preserve">QR Scanner + SaaS Platform (dispatch accuracy)</t>
  </si>
  <si>
    <t xml:space="preserve">(Additional Benefit Category — NEEDS INPUT FROM SATHISHKUMAR)</t>
  </si>
  <si>
    <t xml:space="preserve">(NEEDS INPUT — which device/sensor drives this)</t>
  </si>
  <si>
    <t xml:space="preserve">Total Annual Savings</t>
  </si>
  <si>
    <t xml:space="preserve">Line</t>
  </si>
  <si>
    <t xml:space="preserve">Current State (without IoT)</t>
  </si>
  <si>
    <t xml:space="preserve">Savings / Benefit</t>
  </si>
  <si>
    <t xml:space="preserve">New State (with IoT)</t>
  </si>
  <si>
    <t xml:space="preserve">Site</t>
  </si>
  <si>
    <t xml:space="preserve">Fleet Count</t>
  </si>
  <si>
    <t xml:space="preserve">Allocated Cost</t>
  </si>
  <si>
    <t xml:space="preserve">Allocated Savings</t>
  </si>
  <si>
    <t xml:space="preserve">Payback (months)</t>
  </si>
  <si>
    <t xml:space="preserve">(Site 1 — NEEDS INPUT FROM SATHISHKUMAR: real site name)</t>
  </si>
  <si>
    <t xml:space="preserve">(Site 2 — NEEDS INPUT FROM SATHISHKUMAR: real site name)</t>
  </si>
  <si>
    <t xml:space="preserve">(Site 3 — NEEDS INPUT FROM SATHISHKUMAR: real site name)</t>
  </si>
  <si>
    <t xml:space="preserve">TOTAL (placeholder sites)</t>
  </si>
  <si>
    <t xml:space="preserve">ROI Summary</t>
  </si>
  <si>
    <t xml:space="preserve">Total Investment</t>
  </si>
  <si>
    <t xml:space="preserve">Recurring Annual Cost (SaaS + Maintenance, at Price)</t>
  </si>
  <si>
    <t xml:space="preserve">Net Annual Benefit</t>
  </si>
  <si>
    <t xml:space="preserve">Payback Period (months)</t>
  </si>
  <si>
    <t xml:space="preserve">3-Year Cumulative ROI 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</si>
</sst>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₹#,##0.0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2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2" t="n">
        <v>218</v>
      </c>
    </row>
    <row r="3" customFormat="false" ht="15" hidden="false" customHeight="false" outlineLevel="0" collapsed="false">
      <c r="A3" s="0" t="s">
        <v>3</v>
      </c>
      <c r="B3" s="3" t="n">
        <v>8755</v>
      </c>
    </row>
    <row r="4" customFormat="false" ht="15" hidden="false" customHeight="false" outlineLevel="0" collapsed="false">
      <c r="A4" s="0" t="s">
        <v>4</v>
      </c>
      <c r="B4" s="4" t="n">
        <v>1.4</v>
      </c>
    </row>
    <row r="5" customFormat="false" ht="15" hidden="false" customHeight="false" outlineLevel="0" collapsed="false">
      <c r="A5" s="0" t="s">
        <v>5</v>
      </c>
      <c r="B5" s="3" t="n">
        <v>1070356.32</v>
      </c>
    </row>
    <row r="6" customFormat="false" ht="15" hidden="false" customHeight="false" outlineLevel="0" collapsed="false">
      <c r="A6" s="0" t="s">
        <v>6</v>
      </c>
      <c r="B6" s="3" t="n">
        <v>593572.8</v>
      </c>
    </row>
    <row r="7" customFormat="false" ht="15" hidden="false" customHeight="false" outlineLevel="0" collapsed="false">
      <c r="A7" s="0" t="s">
        <v>7</v>
      </c>
      <c r="B7" s="4" t="n">
        <v>0.8</v>
      </c>
    </row>
    <row r="8" customFormat="false" ht="15" hidden="false" customHeight="false" outlineLevel="0" collapsed="false">
      <c r="A8" s="0" t="s">
        <v>8</v>
      </c>
      <c r="B8" s="3" t="n">
        <v>800000</v>
      </c>
    </row>
    <row r="9" customFormat="false" ht="15" hidden="false" customHeight="false" outlineLevel="0" collapsed="false">
      <c r="A9" s="0" t="s">
        <v>9</v>
      </c>
      <c r="B9" s="4" t="n">
        <v>1.1</v>
      </c>
    </row>
    <row r="10" customFormat="false" ht="15" hidden="false" customHeight="false" outlineLevel="0" collapsed="false">
      <c r="A10" s="0" t="s">
        <v>10</v>
      </c>
      <c r="B10" s="3" t="n">
        <v>26000</v>
      </c>
    </row>
    <row r="11" customFormat="false" ht="15" hidden="false" customHeight="false" outlineLevel="0" collapsed="false">
      <c r="A11" s="0" t="s">
        <v>11</v>
      </c>
      <c r="B11" s="4" t="n">
        <v>0.6</v>
      </c>
    </row>
    <row r="12" customFormat="false" ht="15" hidden="false" customHeight="false" outlineLevel="0" collapsed="false">
      <c r="A12" s="0" t="s">
        <v>12</v>
      </c>
      <c r="B12" s="3" t="n">
        <v>550</v>
      </c>
    </row>
    <row r="13" customFormat="false" ht="15" hidden="false" customHeight="false" outlineLevel="0" collapsed="false">
      <c r="A13" s="0" t="s">
        <v>13</v>
      </c>
      <c r="B13" s="3" t="n">
        <v>150</v>
      </c>
    </row>
    <row r="14" customFormat="false" ht="15" hidden="false" customHeight="false" outlineLevel="0" collapsed="false">
      <c r="A14" s="0" t="s">
        <v>14</v>
      </c>
      <c r="B14" s="3" t="n">
        <v>100</v>
      </c>
    </row>
    <row r="15" customFormat="false" ht="15" hidden="false" customHeight="false" outlineLevel="0" collapsed="false">
      <c r="A15" s="0" t="s">
        <v>15</v>
      </c>
      <c r="B15" s="4" t="n">
        <v>0.7</v>
      </c>
    </row>
    <row r="16" customFormat="false" ht="15" hidden="false" customHeight="false" outlineLevel="0" collapsed="false">
      <c r="A16" s="0" t="s">
        <v>16</v>
      </c>
      <c r="B16" s="3" t="n">
        <v>7350</v>
      </c>
    </row>
    <row r="17" customFormat="false" ht="15" hidden="false" customHeight="false" outlineLevel="0" collapsed="false">
      <c r="A17" s="0" t="s">
        <v>17</v>
      </c>
      <c r="B17" s="4" t="n">
        <v>1</v>
      </c>
    </row>
    <row r="18" customFormat="false" ht="15" hidden="false" customHeight="false" outlineLevel="0" collapsed="false">
      <c r="A18" s="0" t="s">
        <v>18</v>
      </c>
      <c r="B18" s="3" t="n">
        <v>5050</v>
      </c>
    </row>
    <row r="19" customFormat="false" ht="15" hidden="false" customHeight="false" outlineLevel="0" collapsed="false">
      <c r="A19" s="0" t="s">
        <v>19</v>
      </c>
      <c r="B19" s="4" t="n">
        <v>0.65</v>
      </c>
    </row>
    <row r="20" customFormat="false" ht="15" hidden="false" customHeight="false" outlineLevel="0" collapsed="false">
      <c r="A20" s="0" t="s">
        <v>20</v>
      </c>
      <c r="B20" s="3" t="n">
        <v>2850</v>
      </c>
    </row>
    <row r="21" customFormat="false" ht="15" hidden="false" customHeight="false" outlineLevel="0" collapsed="false">
      <c r="A21" s="0" t="s">
        <v>21</v>
      </c>
      <c r="B21" s="4" t="n">
        <v>0.7</v>
      </c>
    </row>
    <row r="22" customFormat="false" ht="15" hidden="false" customHeight="false" outlineLevel="0" collapsed="false">
      <c r="A22" s="0" t="s">
        <v>22</v>
      </c>
      <c r="B22" s="3" t="n">
        <v>5050</v>
      </c>
    </row>
    <row r="23" customFormat="false" ht="15" hidden="false" customHeight="false" outlineLevel="0" collapsed="false">
      <c r="A23" s="0" t="s">
        <v>23</v>
      </c>
      <c r="B23" s="4" t="n">
        <v>0.8</v>
      </c>
    </row>
    <row r="24" customFormat="false" ht="15" hidden="false" customHeight="false" outlineLevel="0" collapsed="false">
      <c r="A24" s="0" t="s">
        <v>24</v>
      </c>
      <c r="B24" s="3" t="n">
        <v>15000</v>
      </c>
    </row>
    <row r="25" customFormat="false" ht="15" hidden="false" customHeight="false" outlineLevel="0" collapsed="false">
      <c r="A25" s="0" t="s">
        <v>25</v>
      </c>
      <c r="B25" s="3" t="n">
        <v>360000</v>
      </c>
    </row>
    <row r="26" customFormat="false" ht="15" hidden="false" customHeight="false" outlineLevel="0" collapsed="false">
      <c r="A26" s="0" t="s">
        <v>26</v>
      </c>
      <c r="B26" s="5" t="n">
        <v>218</v>
      </c>
    </row>
    <row r="27" customFormat="false" ht="15" hidden="false" customHeight="false" outlineLevel="0" collapsed="false">
      <c r="A27" s="0" t="s">
        <v>27</v>
      </c>
      <c r="B27" s="5" t="n">
        <v>218</v>
      </c>
    </row>
    <row r="28" customFormat="false" ht="15" hidden="false" customHeight="false" outlineLevel="0" collapsed="false">
      <c r="A28" s="0" t="s">
        <v>28</v>
      </c>
      <c r="B28" s="5" t="n">
        <v>218</v>
      </c>
    </row>
    <row r="29" customFormat="false" ht="15" hidden="false" customHeight="false" outlineLevel="0" collapsed="false">
      <c r="A29" s="0" t="s">
        <v>29</v>
      </c>
      <c r="B29" s="5" t="n">
        <v>218</v>
      </c>
    </row>
    <row r="30" customFormat="false" ht="15" hidden="false" customHeight="false" outlineLevel="0" collapsed="false">
      <c r="A30" s="0" t="s">
        <v>30</v>
      </c>
      <c r="B30" s="5" t="n">
        <v>1</v>
      </c>
    </row>
    <row r="31" customFormat="false" ht="15" hidden="false" customHeight="false" outlineLevel="0" collapsed="false">
      <c r="A31" s="0" t="s">
        <v>31</v>
      </c>
      <c r="B31" s="5" t="n">
        <v>0</v>
      </c>
    </row>
    <row r="32" customFormat="false" ht="15" hidden="false" customHeight="false" outlineLevel="0" collapsed="false">
      <c r="A32" s="0" t="s">
        <v>32</v>
      </c>
      <c r="B32" s="5" t="n">
        <v>0</v>
      </c>
    </row>
    <row r="33" customFormat="false" ht="15" hidden="false" customHeight="false" outlineLevel="0" collapsed="false">
      <c r="A33" s="0" t="s">
        <v>33</v>
      </c>
      <c r="B33" s="2" t="n">
        <v>12</v>
      </c>
    </row>
    <row r="34" customFormat="false" ht="15" hidden="false" customHeight="false" outlineLevel="0" collapsed="false">
      <c r="A34" s="0" t="s">
        <v>34</v>
      </c>
      <c r="B34" s="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35</v>
      </c>
    </row>
    <row r="2" customFormat="false" ht="15" hidden="false" customHeight="false" outlineLevel="0" collapsed="false">
      <c r="A2" s="0" t="s">
        <v>36</v>
      </c>
      <c r="B2" s="6" t="n">
        <f aca="false">Inputs!B2</f>
        <v>218</v>
      </c>
    </row>
    <row r="3" customFormat="false" ht="15" hidden="false" customHeight="false" outlineLevel="0" collapsed="false">
      <c r="A3" s="0" t="s">
        <v>37</v>
      </c>
      <c r="B3" s="7" t="n">
        <f aca="false">Inputs!B3</f>
        <v>8755</v>
      </c>
    </row>
    <row r="4" customFormat="false" ht="15" hidden="false" customHeight="false" outlineLevel="0" collapsed="false">
      <c r="A4" s="0" t="s">
        <v>38</v>
      </c>
      <c r="B4" s="8" t="n">
        <f aca="false">Inputs!B4</f>
        <v>1.4</v>
      </c>
    </row>
    <row r="5" customFormat="false" ht="15" hidden="false" customHeight="false" outlineLevel="0" collapsed="false">
      <c r="A5" s="0" t="s">
        <v>39</v>
      </c>
      <c r="B5" s="9" t="n">
        <f aca="false">B3*(1+B4)</f>
        <v>21012</v>
      </c>
    </row>
    <row r="6" customFormat="false" ht="15" hidden="false" customHeight="false" outlineLevel="0" collapsed="false">
      <c r="A6" s="0" t="s">
        <v>40</v>
      </c>
      <c r="B6" s="9" t="n">
        <f aca="false">B3*B2</f>
        <v>1908590</v>
      </c>
    </row>
    <row r="7" customFormat="false" ht="15" hidden="false" customHeight="false" outlineLevel="0" collapsed="false">
      <c r="A7" s="0" t="s">
        <v>41</v>
      </c>
      <c r="B7" s="10" t="n">
        <f aca="false">B5*B2</f>
        <v>4580616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7" min="5" style="0" width="14"/>
  </cols>
  <sheetData>
    <row r="1" customFormat="false" ht="15" hidden="false" customHeight="false" outlineLevel="0" collapsed="false">
      <c r="A1" s="1" t="s">
        <v>42</v>
      </c>
      <c r="B1" s="1" t="s">
        <v>43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customFormat="false" ht="15" hidden="false" customHeight="false" outlineLevel="0" collapsed="false">
      <c r="A2" s="0" t="s">
        <v>44</v>
      </c>
      <c r="B2" s="6" t="n">
        <f aca="false">Inputs!B26</f>
        <v>218</v>
      </c>
      <c r="C2" s="7" t="n">
        <f aca="false">Inputs!B16</f>
        <v>7350</v>
      </c>
      <c r="D2" s="8" t="n">
        <f aca="false">Inputs!B17</f>
        <v>1</v>
      </c>
      <c r="E2" s="9" t="n">
        <f aca="false">C2*(1+D2)</f>
        <v>14700</v>
      </c>
      <c r="F2" s="9" t="n">
        <f aca="false">C2*B2</f>
        <v>1602300</v>
      </c>
      <c r="G2" s="9" t="n">
        <f aca="false">E2*B2</f>
        <v>3204600</v>
      </c>
    </row>
    <row r="3" customFormat="false" ht="15" hidden="false" customHeight="false" outlineLevel="0" collapsed="false">
      <c r="A3" s="0" t="s">
        <v>45</v>
      </c>
      <c r="B3" s="6" t="n">
        <f aca="false">Inputs!B27</f>
        <v>218</v>
      </c>
      <c r="C3" s="7" t="n">
        <f aca="false">Inputs!B18</f>
        <v>5050</v>
      </c>
      <c r="D3" s="8" t="n">
        <f aca="false">Inputs!B19</f>
        <v>0.65</v>
      </c>
      <c r="E3" s="9" t="n">
        <f aca="false">C3*(1+D3)</f>
        <v>8332.5</v>
      </c>
      <c r="F3" s="9" t="n">
        <f aca="false">C3*B3</f>
        <v>1100900</v>
      </c>
      <c r="G3" s="9" t="n">
        <f aca="false">E3*B3</f>
        <v>1816485</v>
      </c>
    </row>
    <row r="4" customFormat="false" ht="15" hidden="false" customHeight="false" outlineLevel="0" collapsed="false">
      <c r="A4" s="0" t="s">
        <v>46</v>
      </c>
      <c r="B4" s="6" t="n">
        <f aca="false">Inputs!B28</f>
        <v>218</v>
      </c>
      <c r="C4" s="7" t="n">
        <f aca="false">Inputs!B20</f>
        <v>2850</v>
      </c>
      <c r="D4" s="8" t="n">
        <f aca="false">Inputs!B21</f>
        <v>0.7</v>
      </c>
      <c r="E4" s="9" t="n">
        <f aca="false">C4*(1+D4)</f>
        <v>4845</v>
      </c>
      <c r="F4" s="9" t="n">
        <f aca="false">C4*B4</f>
        <v>621300</v>
      </c>
      <c r="G4" s="9" t="n">
        <f aca="false">E4*B4</f>
        <v>1056210</v>
      </c>
    </row>
    <row r="5" customFormat="false" ht="15" hidden="false" customHeight="false" outlineLevel="0" collapsed="false">
      <c r="A5" s="0" t="s">
        <v>47</v>
      </c>
      <c r="B5" s="6" t="n">
        <f aca="false">Inputs!B29</f>
        <v>218</v>
      </c>
      <c r="C5" s="7" t="n">
        <f aca="false">Inputs!B22</f>
        <v>5050</v>
      </c>
      <c r="D5" s="8" t="n">
        <f aca="false">Inputs!B23</f>
        <v>0.8</v>
      </c>
      <c r="E5" s="9" t="n">
        <f aca="false">C5*(1+D5)</f>
        <v>9090</v>
      </c>
      <c r="F5" s="9" t="n">
        <f aca="false">C5*B5</f>
        <v>1100900</v>
      </c>
      <c r="G5" s="9" t="n">
        <f aca="false">E5*B5</f>
        <v>1981620</v>
      </c>
    </row>
    <row r="6" customFormat="false" ht="15" hidden="false" customHeight="false" outlineLevel="0" collapsed="false">
      <c r="A6" s="0" t="s">
        <v>48</v>
      </c>
      <c r="F6" s="10" t="n">
        <f aca="false">SUM(F2:F5)</f>
        <v>4425400</v>
      </c>
      <c r="G6" s="10" t="n">
        <f aca="false">SUM(G2:G5)</f>
        <v>8058915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49</v>
      </c>
    </row>
    <row r="2" customFormat="false" ht="15" hidden="false" customHeight="false" outlineLevel="0" collapsed="false">
      <c r="A2" s="0" t="s">
        <v>50</v>
      </c>
      <c r="B2" s="7" t="n">
        <f aca="false">Inputs!B12</f>
        <v>550</v>
      </c>
    </row>
    <row r="3" customFormat="false" ht="15" hidden="false" customHeight="false" outlineLevel="0" collapsed="false">
      <c r="A3" s="0" t="s">
        <v>51</v>
      </c>
      <c r="B3" s="7" t="n">
        <f aca="false">Inputs!B13</f>
        <v>150</v>
      </c>
    </row>
    <row r="4" customFormat="false" ht="15" hidden="false" customHeight="false" outlineLevel="0" collapsed="false">
      <c r="A4" s="0" t="s">
        <v>52</v>
      </c>
      <c r="B4" s="7" t="n">
        <f aca="false">Inputs!B14</f>
        <v>100</v>
      </c>
    </row>
    <row r="5" customFormat="false" ht="15" hidden="false" customHeight="false" outlineLevel="0" collapsed="false">
      <c r="A5" s="0" t="s">
        <v>53</v>
      </c>
      <c r="B5" s="9" t="n">
        <f aca="false">SUM(B2:B4)</f>
        <v>800</v>
      </c>
    </row>
    <row r="6" customFormat="false" ht="15" hidden="false" customHeight="false" outlineLevel="0" collapsed="false">
      <c r="A6" s="0" t="s">
        <v>38</v>
      </c>
      <c r="B6" s="8" t="n">
        <f aca="false">Inputs!B15</f>
        <v>0.7</v>
      </c>
    </row>
    <row r="7" customFormat="false" ht="15" hidden="false" customHeight="false" outlineLevel="0" collapsed="false">
      <c r="A7" s="0" t="s">
        <v>54</v>
      </c>
      <c r="B7" s="9" t="n">
        <f aca="false">B5*(1+B6)</f>
        <v>1360</v>
      </c>
    </row>
    <row r="8" customFormat="false" ht="15" hidden="false" customHeight="false" outlineLevel="0" collapsed="false">
      <c r="A8" s="0" t="s">
        <v>36</v>
      </c>
      <c r="B8" s="6" t="n">
        <f aca="false">Inputs!B2</f>
        <v>218</v>
      </c>
    </row>
    <row r="9" customFormat="false" ht="15" hidden="false" customHeight="false" outlineLevel="0" collapsed="false">
      <c r="A9" s="0" t="s">
        <v>55</v>
      </c>
      <c r="B9" s="9" t="n">
        <f aca="false">B5*B8</f>
        <v>174400</v>
      </c>
    </row>
    <row r="10" customFormat="false" ht="15" hidden="false" customHeight="false" outlineLevel="0" collapsed="false">
      <c r="A10" s="0" t="s">
        <v>56</v>
      </c>
      <c r="B10" s="9" t="n">
        <f aca="false">B7*B8</f>
        <v>296480</v>
      </c>
    </row>
    <row r="11" customFormat="false" ht="15" hidden="false" customHeight="false" outlineLevel="0" collapsed="false">
      <c r="A11" s="0" t="s">
        <v>57</v>
      </c>
      <c r="B11" s="6" t="n">
        <f aca="false">Inputs!B33</f>
        <v>12</v>
      </c>
    </row>
    <row r="12" customFormat="false" ht="15" hidden="false" customHeight="false" outlineLevel="0" collapsed="false">
      <c r="A12" s="0" t="s">
        <v>58</v>
      </c>
      <c r="B12" s="9" t="n">
        <f aca="false">B9*B11</f>
        <v>2092800</v>
      </c>
    </row>
    <row r="13" customFormat="false" ht="15" hidden="false" customHeight="false" outlineLevel="0" collapsed="false">
      <c r="A13" s="0" t="s">
        <v>59</v>
      </c>
      <c r="B13" s="10" t="n">
        <f aca="false">B10*B11</f>
        <v>3557760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60</v>
      </c>
    </row>
    <row r="2" customFormat="false" ht="15" hidden="false" customHeight="false" outlineLevel="0" collapsed="false">
      <c r="A2" s="0" t="s">
        <v>5</v>
      </c>
      <c r="B2" s="7" t="n">
        <f aca="false">Inputs!B5</f>
        <v>1070356.32</v>
      </c>
    </row>
    <row r="3" customFormat="false" ht="15" hidden="false" customHeight="false" outlineLevel="0" collapsed="false">
      <c r="A3" s="0" t="s">
        <v>6</v>
      </c>
      <c r="B3" s="7" t="n">
        <f aca="false">Inputs!B6</f>
        <v>593572.8</v>
      </c>
    </row>
    <row r="4" customFormat="false" ht="15" hidden="false" customHeight="false" outlineLevel="0" collapsed="false">
      <c r="A4" s="0" t="s">
        <v>61</v>
      </c>
      <c r="B4" s="9" t="n">
        <f aca="false">SUM(B2:B3)</f>
        <v>1663929.12</v>
      </c>
    </row>
    <row r="5" customFormat="false" ht="15" hidden="false" customHeight="false" outlineLevel="0" collapsed="false">
      <c r="A5" s="0" t="s">
        <v>7</v>
      </c>
      <c r="B5" s="8" t="n">
        <f aca="false">Inputs!B7</f>
        <v>0.8</v>
      </c>
    </row>
    <row r="6" customFormat="false" ht="15" hidden="false" customHeight="false" outlineLevel="0" collapsed="false">
      <c r="A6" s="0" t="s">
        <v>62</v>
      </c>
      <c r="B6" s="9" t="n">
        <f aca="false">B4*(1+B5)</f>
        <v>2995072.416</v>
      </c>
    </row>
    <row r="8" customFormat="false" ht="15" hidden="false" customHeight="false" outlineLevel="0" collapsed="false">
      <c r="A8" s="0" t="s">
        <v>8</v>
      </c>
      <c r="B8" s="7" t="n">
        <f aca="false">Inputs!B8</f>
        <v>800000</v>
      </c>
    </row>
    <row r="9" customFormat="false" ht="15" hidden="false" customHeight="false" outlineLevel="0" collapsed="false">
      <c r="A9" s="0" t="s">
        <v>9</v>
      </c>
      <c r="B9" s="8" t="n">
        <f aca="false">Inputs!B9</f>
        <v>1.1</v>
      </c>
    </row>
    <row r="10" customFormat="false" ht="15" hidden="false" customHeight="false" outlineLevel="0" collapsed="false">
      <c r="A10" s="0" t="s">
        <v>63</v>
      </c>
      <c r="B10" s="9" t="n">
        <f aca="false">B8*(1+B9)</f>
        <v>1680000</v>
      </c>
    </row>
    <row r="12" customFormat="false" ht="15" hidden="false" customHeight="false" outlineLevel="0" collapsed="false">
      <c r="A12" s="0" t="s">
        <v>64</v>
      </c>
      <c r="B12" s="10" t="n">
        <f aca="false">B4+B8</f>
        <v>2463929.12</v>
      </c>
    </row>
    <row r="13" customFormat="false" ht="15" hidden="false" customHeight="false" outlineLevel="0" collapsed="false">
      <c r="A13" s="0" t="s">
        <v>65</v>
      </c>
      <c r="B13" s="10" t="n">
        <f aca="false">B6+B10</f>
        <v>4675072.416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66</v>
      </c>
    </row>
    <row r="2" customFormat="false" ht="15" hidden="false" customHeight="false" outlineLevel="0" collapsed="false">
      <c r="A2" s="0" t="s">
        <v>37</v>
      </c>
      <c r="B2" s="7" t="n">
        <f aca="false">Inputs!B10</f>
        <v>26000</v>
      </c>
    </row>
    <row r="3" customFormat="false" ht="15" hidden="false" customHeight="false" outlineLevel="0" collapsed="false">
      <c r="A3" s="0" t="s">
        <v>38</v>
      </c>
      <c r="B3" s="8" t="n">
        <f aca="false">Inputs!B11</f>
        <v>0.6</v>
      </c>
    </row>
    <row r="4" customFormat="false" ht="15" hidden="false" customHeight="false" outlineLevel="0" collapsed="false">
      <c r="A4" s="0" t="s">
        <v>43</v>
      </c>
      <c r="B4" s="6" t="n">
        <f aca="false">Inputs!B30</f>
        <v>1</v>
      </c>
    </row>
    <row r="5" customFormat="false" ht="15" hidden="false" customHeight="false" outlineLevel="0" collapsed="false">
      <c r="A5" s="0" t="s">
        <v>39</v>
      </c>
      <c r="B5" s="9" t="n">
        <f aca="false">B2*(1+B3)</f>
        <v>41600</v>
      </c>
    </row>
    <row r="6" customFormat="false" ht="15" hidden="false" customHeight="false" outlineLevel="0" collapsed="false">
      <c r="A6" s="0" t="s">
        <v>40</v>
      </c>
      <c r="B6" s="9" t="n">
        <f aca="false">B2*B4</f>
        <v>26000</v>
      </c>
    </row>
    <row r="7" customFormat="false" ht="15" hidden="false" customHeight="false" outlineLevel="0" collapsed="false">
      <c r="A7" s="0" t="s">
        <v>41</v>
      </c>
      <c r="B7" s="10" t="n">
        <f aca="false">B5*B4</f>
        <v>41600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67</v>
      </c>
    </row>
    <row r="2" customFormat="false" ht="15" hidden="false" customHeight="false" outlineLevel="0" collapsed="false">
      <c r="A2" s="0" t="s">
        <v>68</v>
      </c>
      <c r="B2" s="7" t="n">
        <f aca="false">Inputs!B24</f>
        <v>15000</v>
      </c>
    </row>
    <row r="3" customFormat="false" ht="15" hidden="false" customHeight="false" outlineLevel="0" collapsed="false">
      <c r="A3" s="0" t="s">
        <v>69</v>
      </c>
      <c r="B3" s="6" t="n">
        <f aca="false">Inputs!B31</f>
        <v>0</v>
      </c>
    </row>
    <row r="4" customFormat="false" ht="15" hidden="false" customHeight="false" outlineLevel="0" collapsed="false">
      <c r="A4" s="0" t="s">
        <v>70</v>
      </c>
      <c r="B4" s="9" t="n">
        <f aca="false">B2*B3</f>
        <v>0</v>
      </c>
    </row>
    <row r="6" customFormat="false" ht="15" hidden="false" customHeight="false" outlineLevel="0" collapsed="false">
      <c r="A6" s="0" t="s">
        <v>71</v>
      </c>
      <c r="B6" s="7" t="n">
        <f aca="false">Inputs!B25</f>
        <v>360000</v>
      </c>
    </row>
    <row r="7" customFormat="false" ht="15" hidden="false" customHeight="false" outlineLevel="0" collapsed="false">
      <c r="A7" s="0" t="s">
        <v>72</v>
      </c>
      <c r="B7" s="6" t="n">
        <f aca="false">Inputs!B32</f>
        <v>0</v>
      </c>
    </row>
    <row r="8" customFormat="false" ht="15" hidden="false" customHeight="false" outlineLevel="0" collapsed="false">
      <c r="A8" s="0" t="s">
        <v>73</v>
      </c>
      <c r="B8" s="9" t="n">
        <f aca="false">B6*B7</f>
        <v>0</v>
      </c>
    </row>
    <row r="10" customFormat="false" ht="15" hidden="false" customHeight="false" outlineLevel="0" collapsed="false">
      <c r="A10" s="0" t="s">
        <v>74</v>
      </c>
      <c r="B10" s="10" t="n">
        <f aca="false">B4+B8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8"/>
  </cols>
  <sheetData>
    <row r="1" customFormat="false" ht="15" hidden="false" customHeight="false" outlineLevel="0" collapsed="false">
      <c r="A1" s="1" t="s">
        <v>75</v>
      </c>
      <c r="B1" s="1" t="s">
        <v>40</v>
      </c>
      <c r="C1" s="1" t="s">
        <v>41</v>
      </c>
    </row>
    <row r="2" customFormat="false" ht="15" hidden="false" customHeight="false" outlineLevel="0" collapsed="false">
      <c r="A2" s="0" t="s">
        <v>76</v>
      </c>
      <c r="B2" s="7" t="n">
        <f aca="false">'IoT Logger Cost'!B6</f>
        <v>1908590</v>
      </c>
      <c r="C2" s="7" t="n">
        <f aca="false">'IoT Logger Cost'!B7</f>
        <v>4580616</v>
      </c>
    </row>
    <row r="3" customFormat="false" ht="15" hidden="false" customHeight="false" outlineLevel="0" collapsed="false">
      <c r="A3" s="0" t="s">
        <v>77</v>
      </c>
      <c r="B3" s="7" t="n">
        <f aca="false">'Sensor Cost'!F6</f>
        <v>4425400</v>
      </c>
      <c r="C3" s="7" t="n">
        <f aca="false">'Sensor Cost'!G6</f>
        <v>8058915</v>
      </c>
    </row>
    <row r="4" customFormat="false" ht="15" hidden="false" customHeight="false" outlineLevel="0" collapsed="false">
      <c r="A4" s="0" t="s">
        <v>78</v>
      </c>
      <c r="B4" s="7" t="n">
        <f aca="false">'SaaS Cost'!B12</f>
        <v>2092800</v>
      </c>
      <c r="C4" s="7" t="n">
        <f aca="false">'SaaS Cost'!B13</f>
        <v>3557760</v>
      </c>
    </row>
    <row r="5" customFormat="false" ht="15" hidden="false" customHeight="false" outlineLevel="0" collapsed="false">
      <c r="A5" s="0" t="s">
        <v>60</v>
      </c>
      <c r="B5" s="7" t="n">
        <f aca="false">'Dev &amp; Maintenance'!B12</f>
        <v>2463929.12</v>
      </c>
      <c r="C5" s="7" t="n">
        <f aca="false">'Dev &amp; Maintenance'!B13</f>
        <v>4675072.416</v>
      </c>
    </row>
    <row r="6" customFormat="false" ht="15" hidden="false" customHeight="false" outlineLevel="0" collapsed="false">
      <c r="A6" s="0" t="s">
        <v>66</v>
      </c>
      <c r="B6" s="7" t="n">
        <f aca="false">'QR Device'!B6</f>
        <v>26000</v>
      </c>
      <c r="C6" s="7" t="n">
        <f aca="false">'QR Device'!B7</f>
        <v>41600</v>
      </c>
    </row>
    <row r="7" customFormat="false" ht="15" hidden="false" customHeight="false" outlineLevel="0" collapsed="false">
      <c r="A7" s="0" t="s">
        <v>67</v>
      </c>
      <c r="B7" s="7" t="n">
        <f aca="false">Installation!B10</f>
        <v>0</v>
      </c>
      <c r="C7" s="7" t="n">
        <f aca="false">Installation!B10</f>
        <v>0</v>
      </c>
    </row>
    <row r="8" customFormat="false" ht="15" hidden="false" customHeight="false" outlineLevel="0" collapsed="false">
      <c r="A8" s="0" t="s">
        <v>48</v>
      </c>
      <c r="B8" s="10" t="n">
        <f aca="false">SUM(B2:B7)</f>
        <v>10916719.12</v>
      </c>
      <c r="C8" s="10" t="n">
        <f aca="false">SUM(C2:C7)</f>
        <v>20913963.416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79</v>
      </c>
    </row>
    <row r="2" customFormat="false" ht="15" hidden="false" customHeight="false" outlineLevel="0" collapsed="false">
      <c r="A2" s="0" t="s">
        <v>80</v>
      </c>
      <c r="B2" s="10" t="n">
        <f aca="false">'Overall Summary'!C8</f>
        <v>20913963.416</v>
      </c>
    </row>
    <row r="4" customFormat="false" ht="15" hidden="false" customHeight="false" outlineLevel="0" collapsed="false">
      <c r="A4" s="0" t="s">
        <v>81</v>
      </c>
      <c r="B4" s="6" t="n">
        <f aca="false">Inputs!B34</f>
        <v>1</v>
      </c>
    </row>
    <row r="5" customFormat="false" ht="15" hidden="false" customHeight="false" outlineLevel="0" collapsed="false">
      <c r="A5" s="0" t="s">
        <v>82</v>
      </c>
      <c r="B5" s="9" t="n">
        <f aca="false">'SaaS Cost'!B13+'Dev &amp; Maintenance'!B10</f>
        <v>5237760</v>
      </c>
    </row>
    <row r="6" customFormat="false" ht="15" hidden="false" customHeight="false" outlineLevel="0" collapsed="false">
      <c r="A6" s="0" t="s">
        <v>83</v>
      </c>
      <c r="B6" s="9" t="n">
        <f aca="false">MAX(B4-1,0)*B5</f>
        <v>0</v>
      </c>
    </row>
    <row r="8" customFormat="false" ht="15" hidden="false" customHeight="false" outlineLevel="0" collapsed="false">
      <c r="A8" s="0" t="s">
        <v>84</v>
      </c>
      <c r="B8" s="10" t="n">
        <f aca="false">B2+B6</f>
        <v>20913963.416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15" hidden="false" customHeight="false" outlineLevel="0" collapsed="false">
      <c r="A1" s="1" t="s">
        <v>85</v>
      </c>
      <c r="B1" s="1" t="s">
        <v>86</v>
      </c>
      <c r="C1" s="1" t="s">
        <v>87</v>
      </c>
    </row>
    <row r="2" customFormat="false" ht="15" hidden="false" customHeight="false" outlineLevel="0" collapsed="false">
      <c r="A2" s="0" t="s">
        <v>88</v>
      </c>
      <c r="B2" s="11" t="n">
        <v>0</v>
      </c>
      <c r="C2" s="0" t="s">
        <v>44</v>
      </c>
    </row>
    <row r="3" customFormat="false" ht="15" hidden="false" customHeight="false" outlineLevel="0" collapsed="false">
      <c r="A3" s="0" t="s">
        <v>89</v>
      </c>
      <c r="B3" s="11" t="n">
        <v>0</v>
      </c>
      <c r="C3" s="0" t="s">
        <v>90</v>
      </c>
    </row>
    <row r="4" customFormat="false" ht="15" hidden="false" customHeight="false" outlineLevel="0" collapsed="false">
      <c r="A4" s="0" t="s">
        <v>91</v>
      </c>
      <c r="B4" s="11" t="n">
        <v>0</v>
      </c>
      <c r="C4" s="0" t="s">
        <v>92</v>
      </c>
    </row>
    <row r="5" customFormat="false" ht="15" hidden="false" customHeight="false" outlineLevel="0" collapsed="false">
      <c r="A5" s="0" t="s">
        <v>93</v>
      </c>
      <c r="B5" s="11" t="n">
        <v>0</v>
      </c>
      <c r="C5" s="0" t="s">
        <v>94</v>
      </c>
    </row>
    <row r="6" customFormat="false" ht="15" hidden="false" customHeight="false" outlineLevel="0" collapsed="false">
      <c r="A6" s="0" t="s">
        <v>95</v>
      </c>
      <c r="B6" s="10" t="n">
        <f aca="false">SUM(B2:B5)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0"/>
  </cols>
  <sheetData>
    <row r="1" customFormat="false" ht="15" hidden="false" customHeight="false" outlineLevel="0" collapsed="false">
      <c r="A1" s="1" t="s">
        <v>96</v>
      </c>
      <c r="B1" s="1" t="s">
        <v>97</v>
      </c>
      <c r="C1" s="1" t="s">
        <v>98</v>
      </c>
      <c r="D1" s="1" t="s">
        <v>99</v>
      </c>
    </row>
    <row r="2" customFormat="false" ht="15" hidden="false" customHeight="false" outlineLevel="0" collapsed="false">
      <c r="A2" s="0" t="s">
        <v>88</v>
      </c>
      <c r="B2" s="11" t="n">
        <v>0</v>
      </c>
      <c r="C2" s="7" t="n">
        <f aca="false">B2</f>
        <v>0</v>
      </c>
      <c r="D2" s="9" t="n">
        <f aca="false">B2-C2</f>
        <v>0</v>
      </c>
    </row>
    <row r="3" customFormat="false" ht="15" hidden="false" customHeight="false" outlineLevel="0" collapsed="false">
      <c r="A3" s="0" t="s">
        <v>89</v>
      </c>
      <c r="B3" s="11" t="n">
        <v>0</v>
      </c>
      <c r="C3" s="7" t="n">
        <f aca="false">B3</f>
        <v>0</v>
      </c>
      <c r="D3" s="9" t="n">
        <f aca="false">B3-C3</f>
        <v>0</v>
      </c>
    </row>
    <row r="4" customFormat="false" ht="15" hidden="false" customHeight="false" outlineLevel="0" collapsed="false">
      <c r="A4" s="0" t="s">
        <v>91</v>
      </c>
      <c r="B4" s="11" t="n">
        <v>0</v>
      </c>
      <c r="C4" s="7" t="n">
        <f aca="false">B4</f>
        <v>0</v>
      </c>
      <c r="D4" s="9" t="n">
        <f aca="false">B4-C4</f>
        <v>0</v>
      </c>
    </row>
    <row r="5" customFormat="false" ht="15" hidden="false" customHeight="false" outlineLevel="0" collapsed="false">
      <c r="A5" s="0" t="s">
        <v>93</v>
      </c>
      <c r="B5" s="11" t="n">
        <v>0</v>
      </c>
      <c r="C5" s="7" t="n">
        <f aca="false">B5</f>
        <v>0</v>
      </c>
      <c r="D5" s="9" t="n">
        <f aca="false">B5-C5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</row>
    <row r="2" customFormat="false" ht="15" hidden="false" customHeight="false" outlineLevel="0" collapsed="false">
      <c r="A2" s="12" t="s">
        <v>105</v>
      </c>
      <c r="B2" s="5" t="n">
        <v>0</v>
      </c>
      <c r="C2" s="9" t="n">
        <f aca="false">IFERROR(B2/Inputs!B2*'Proposal Cost Summary'!B8,0)</f>
        <v>0</v>
      </c>
      <c r="D2" s="9" t="n">
        <f aca="false">IFERROR(B2/Inputs!B2*'ROI Inputs'!B6,0)</f>
        <v>0</v>
      </c>
      <c r="E2" s="13" t="str">
        <f aca="false">IFERROR(C2/(D2/12),"N/A")</f>
        <v>N/A</v>
      </c>
    </row>
    <row r="3" customFormat="false" ht="15" hidden="false" customHeight="false" outlineLevel="0" collapsed="false">
      <c r="A3" s="12" t="s">
        <v>106</v>
      </c>
      <c r="B3" s="5" t="n">
        <v>0</v>
      </c>
      <c r="C3" s="9" t="n">
        <f aca="false">IFERROR(B3/Inputs!B2*'Proposal Cost Summary'!B8,0)</f>
        <v>0</v>
      </c>
      <c r="D3" s="9" t="n">
        <f aca="false">IFERROR(B3/Inputs!B2*'ROI Inputs'!B6,0)</f>
        <v>0</v>
      </c>
      <c r="E3" s="13" t="str">
        <f aca="false">IFERROR(C3/(D3/12),"N/A")</f>
        <v>N/A</v>
      </c>
    </row>
    <row r="4" customFormat="false" ht="15" hidden="false" customHeight="false" outlineLevel="0" collapsed="false">
      <c r="A4" s="12" t="s">
        <v>107</v>
      </c>
      <c r="B4" s="5" t="n">
        <v>0</v>
      </c>
      <c r="C4" s="9" t="n">
        <f aca="false">IFERROR(B4/Inputs!B2*'Proposal Cost Summary'!B8,0)</f>
        <v>0</v>
      </c>
      <c r="D4" s="9" t="n">
        <f aca="false">IFERROR(B4/Inputs!B2*'ROI Inputs'!B6,0)</f>
        <v>0</v>
      </c>
      <c r="E4" s="13" t="str">
        <f aca="false">IFERROR(C4/(D4/12),"N/A")</f>
        <v>N/A</v>
      </c>
    </row>
    <row r="5" customFormat="false" ht="15" hidden="false" customHeight="false" outlineLevel="0" collapsed="false">
      <c r="A5" s="0" t="s">
        <v>108</v>
      </c>
      <c r="B5" s="14" t="n">
        <f aca="false">SUM(B2:B4)</f>
        <v>0</v>
      </c>
      <c r="C5" s="10" t="n">
        <f aca="false">SUM(C2:C4)</f>
        <v>0</v>
      </c>
      <c r="D5" s="10" t="n">
        <f aca="false">SUM(D2:D4)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0" t="s">
        <v>110</v>
      </c>
      <c r="B2" s="7" t="n">
        <f aca="false">'Proposal Cost Summary'!B8</f>
        <v>20913963.416</v>
      </c>
    </row>
    <row r="3" customFormat="false" ht="15" hidden="false" customHeight="false" outlineLevel="0" collapsed="false">
      <c r="A3" s="0" t="s">
        <v>95</v>
      </c>
      <c r="B3" s="7" t="n">
        <f aca="false">'ROI Inputs'!B6</f>
        <v>0</v>
      </c>
    </row>
    <row r="4" customFormat="false" ht="15" hidden="false" customHeight="false" outlineLevel="0" collapsed="false">
      <c r="A4" s="0" t="s">
        <v>111</v>
      </c>
      <c r="B4" s="7" t="n">
        <f aca="false">'Proposal Cost Summary'!B5</f>
        <v>5237760</v>
      </c>
    </row>
    <row r="5" customFormat="false" ht="15" hidden="false" customHeight="false" outlineLevel="0" collapsed="false">
      <c r="A5" s="0" t="s">
        <v>112</v>
      </c>
      <c r="B5" s="10" t="n">
        <f aca="false">B3-B4</f>
        <v>-5237760</v>
      </c>
    </row>
    <row r="6" customFormat="false" ht="15" hidden="false" customHeight="false" outlineLevel="0" collapsed="false">
      <c r="A6" s="0" t="s">
        <v>113</v>
      </c>
      <c r="B6" s="13" t="n">
        <f aca="false">IFERROR(B2/(B5/12),"N/A — no positive net benefit yet")</f>
        <v>-47.9150554802053</v>
      </c>
    </row>
    <row r="7" customFormat="false" ht="15" hidden="false" customHeight="false" outlineLevel="0" collapsed="false">
      <c r="A7" s="0" t="s">
        <v>114</v>
      </c>
      <c r="B7" s="15" t="n">
        <f aca="false">IFERROR((B5*3-B2)/B2,"N/A")</f>
        <v>-1.75132961110464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2026-09-15T09:17:45Z</dcterms:created>
  <dc:creator>openpyxl</dc:creator>
  <dc:description/>
  <dc:language>en-IN</dc:language>
  <cp:lastModifiedBy/>
  <dcterms:modified xsi:type="dcterms:W3CDTF">2026-09-15T09:17:45Z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